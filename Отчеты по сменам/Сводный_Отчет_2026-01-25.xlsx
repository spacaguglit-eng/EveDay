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lushuk\Desktop\EveDay\Отчеты по сменам\"/>
    </mc:Choice>
  </mc:AlternateContent>
  <xr:revisionPtr revIDLastSave="0" documentId="8_{246A63CC-01C8-4BDA-9187-549ED4991E91}" xr6:coauthVersionLast="47" xr6:coauthVersionMax="47" xr10:uidLastSave="{00000000-0000-0000-0000-000000000000}"/>
  <bookViews>
    <workbookView xWindow="384" yWindow="384" windowWidth="17280" windowHeight="8964" activeTab="2" xr2:uid="{3D8BFF60-1F76-49B9-86AB-A562ED75CE28}"/>
  </bookViews>
  <sheets>
    <sheet name="Сменный отчет линия № 2 - 0,25 " sheetId="2" r:id="rId1"/>
    <sheet name="Сменный отчет линия № 3 - 0,75 " sheetId="3" r:id="rId2"/>
    <sheet name="Сменный отчет линия № 5 - Сироп" sheetId="4" r:id="rId3"/>
  </sheets>
  <externalReferences>
    <externalReference r:id="rId4"/>
  </externalReferences>
  <definedNames>
    <definedName name="Z_092D07B7_2483_4DB7_A8BC_7278E71117D8_.wvu.Rows" localSheetId="0" hidden="1">'Сменный отчет линия № 2 - 0,25 '!$97:$118,'Сменный отчет линия № 2 - 0,25 '!$217:$238</definedName>
    <definedName name="Z_092D07B7_2483_4DB7_A8BC_7278E71117D8_.wvu.Rows" localSheetId="1" hidden="1">'Сменный отчет линия № 3 - 0,75 '!$97:$118,'Сменный отчет линия № 3 - 0,75 '!$217:$238</definedName>
    <definedName name="Z_37036B61_4D89_4D9A_BB9E_9EE85ACB2295_.wvu.Rows" localSheetId="0" hidden="1">'Сменный отчет линия № 2 - 0,25 '!$97:$118,'Сменный отчет линия № 2 - 0,25 '!$217:$238</definedName>
    <definedName name="Z_37036B61_4D89_4D9A_BB9E_9EE85ACB2295_.wvu.Rows" localSheetId="1" hidden="1">'Сменный отчет линия № 3 - 0,75 '!$97:$118,'Сменный отчет линия № 3 - 0,75 '!$217:$238</definedName>
    <definedName name="Z_F4537543_E81C_46C4_A018_76C7CBD3E8F9_.wvu.Rows" localSheetId="0" hidden="1">'Сменный отчет линия № 2 - 0,25 '!$97:$118,'Сменный отчет линия № 2 - 0,25 '!$217:$238</definedName>
    <definedName name="Z_F4537543_E81C_46C4_A018_76C7CBD3E8F9_.wvu.Rows" localSheetId="1" hidden="1">'Сменный отчет линия № 3 - 0,75 '!$97:$118,'Сменный отчет линия № 3 - 0,75 '!$217:$238</definedName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28" i="4" l="1"/>
  <c r="Y228" i="4"/>
  <c r="X228" i="4"/>
  <c r="W228" i="4"/>
  <c r="V228" i="4"/>
  <c r="U228" i="4"/>
  <c r="T228" i="4"/>
  <c r="S228" i="4"/>
  <c r="O228" i="4"/>
  <c r="K228" i="4"/>
  <c r="Z227" i="4"/>
  <c r="Y227" i="4"/>
  <c r="X227" i="4"/>
  <c r="W227" i="4"/>
  <c r="V227" i="4"/>
  <c r="U227" i="4"/>
  <c r="T227" i="4"/>
  <c r="S227" i="4"/>
  <c r="O227" i="4"/>
  <c r="K227" i="4"/>
  <c r="Z226" i="4"/>
  <c r="Y226" i="4"/>
  <c r="X226" i="4"/>
  <c r="W226" i="4"/>
  <c r="V226" i="4"/>
  <c r="U226" i="4"/>
  <c r="T226" i="4"/>
  <c r="S226" i="4"/>
  <c r="O226" i="4"/>
  <c r="K226" i="4"/>
  <c r="Z225" i="4"/>
  <c r="Y225" i="4"/>
  <c r="X225" i="4"/>
  <c r="W225" i="4"/>
  <c r="V225" i="4"/>
  <c r="U225" i="4"/>
  <c r="T225" i="4"/>
  <c r="S225" i="4"/>
  <c r="O225" i="4"/>
  <c r="K225" i="4"/>
  <c r="Z224" i="4"/>
  <c r="Y224" i="4"/>
  <c r="X224" i="4"/>
  <c r="W224" i="4"/>
  <c r="V224" i="4"/>
  <c r="U224" i="4"/>
  <c r="T224" i="4"/>
  <c r="S224" i="4"/>
  <c r="O224" i="4"/>
  <c r="K224" i="4"/>
  <c r="Z223" i="4"/>
  <c r="Y223" i="4"/>
  <c r="X223" i="4"/>
  <c r="W223" i="4"/>
  <c r="V223" i="4"/>
  <c r="U223" i="4"/>
  <c r="T223" i="4"/>
  <c r="S223" i="4"/>
  <c r="O223" i="4"/>
  <c r="K223" i="4"/>
  <c r="Z222" i="4"/>
  <c r="Y222" i="4"/>
  <c r="X222" i="4"/>
  <c r="W222" i="4"/>
  <c r="V222" i="4"/>
  <c r="U222" i="4"/>
  <c r="T222" i="4"/>
  <c r="S222" i="4"/>
  <c r="O222" i="4"/>
  <c r="K222" i="4"/>
  <c r="Z221" i="4"/>
  <c r="Y221" i="4"/>
  <c r="X221" i="4"/>
  <c r="W221" i="4"/>
  <c r="V221" i="4"/>
  <c r="U221" i="4"/>
  <c r="T221" i="4"/>
  <c r="S221" i="4"/>
  <c r="O221" i="4"/>
  <c r="K221" i="4"/>
  <c r="Z220" i="4"/>
  <c r="Y220" i="4"/>
  <c r="X220" i="4"/>
  <c r="W220" i="4"/>
  <c r="V220" i="4"/>
  <c r="U220" i="4"/>
  <c r="T220" i="4"/>
  <c r="S220" i="4"/>
  <c r="O220" i="4"/>
  <c r="K220" i="4"/>
  <c r="Z219" i="4"/>
  <c r="Y219" i="4"/>
  <c r="X219" i="4"/>
  <c r="W219" i="4"/>
  <c r="V219" i="4"/>
  <c r="U219" i="4"/>
  <c r="T219" i="4"/>
  <c r="S219" i="4"/>
  <c r="O219" i="4"/>
  <c r="K219" i="4"/>
  <c r="Z218" i="4"/>
  <c r="Y218" i="4"/>
  <c r="X218" i="4"/>
  <c r="W218" i="4"/>
  <c r="U138" i="4" s="1"/>
  <c r="V218" i="4"/>
  <c r="U218" i="4"/>
  <c r="T218" i="4"/>
  <c r="S218" i="4"/>
  <c r="O218" i="4"/>
  <c r="K218" i="4"/>
  <c r="B218" i="4"/>
  <c r="C218" i="4" s="1"/>
  <c r="B219" i="4" s="1"/>
  <c r="C219" i="4" s="1"/>
  <c r="B220" i="4" s="1"/>
  <c r="C220" i="4" s="1"/>
  <c r="B221" i="4" s="1"/>
  <c r="C221" i="4" s="1"/>
  <c r="B222" i="4" s="1"/>
  <c r="C222" i="4" s="1"/>
  <c r="B223" i="4" s="1"/>
  <c r="C223" i="4" s="1"/>
  <c r="B224" i="4" s="1"/>
  <c r="C224" i="4" s="1"/>
  <c r="B225" i="4" s="1"/>
  <c r="C225" i="4" s="1"/>
  <c r="B226" i="4" s="1"/>
  <c r="C226" i="4" s="1"/>
  <c r="B227" i="4" s="1"/>
  <c r="C227" i="4" s="1"/>
  <c r="B228" i="4" s="1"/>
  <c r="C228" i="4" s="1"/>
  <c r="A218" i="4"/>
  <c r="Z217" i="4"/>
  <c r="Y217" i="4"/>
  <c r="X217" i="4"/>
  <c r="W217" i="4"/>
  <c r="V217" i="4"/>
  <c r="U217" i="4"/>
  <c r="T217" i="4"/>
  <c r="S217" i="4"/>
  <c r="O217" i="4"/>
  <c r="K217" i="4"/>
  <c r="Z216" i="4"/>
  <c r="Y216" i="4"/>
  <c r="X216" i="4"/>
  <c r="W216" i="4"/>
  <c r="V216" i="4"/>
  <c r="U216" i="4"/>
  <c r="T216" i="4"/>
  <c r="S216" i="4"/>
  <c r="O216" i="4"/>
  <c r="K216" i="4"/>
  <c r="Z215" i="4"/>
  <c r="Y215" i="4"/>
  <c r="X215" i="4"/>
  <c r="W215" i="4"/>
  <c r="V215" i="4"/>
  <c r="U215" i="4"/>
  <c r="T215" i="4"/>
  <c r="S215" i="4"/>
  <c r="O215" i="4"/>
  <c r="K215" i="4"/>
  <c r="Z214" i="4"/>
  <c r="Y214" i="4"/>
  <c r="X214" i="4"/>
  <c r="W214" i="4"/>
  <c r="V214" i="4"/>
  <c r="U214" i="4"/>
  <c r="T214" i="4"/>
  <c r="S214" i="4"/>
  <c r="O214" i="4"/>
  <c r="K214" i="4"/>
  <c r="Z213" i="4"/>
  <c r="Y213" i="4"/>
  <c r="X213" i="4"/>
  <c r="W213" i="4"/>
  <c r="V213" i="4"/>
  <c r="U213" i="4"/>
  <c r="T213" i="4"/>
  <c r="S213" i="4"/>
  <c r="O213" i="4"/>
  <c r="K213" i="4"/>
  <c r="Z212" i="4"/>
  <c r="Y212" i="4"/>
  <c r="X212" i="4"/>
  <c r="W212" i="4"/>
  <c r="V212" i="4"/>
  <c r="U212" i="4"/>
  <c r="T212" i="4"/>
  <c r="S212" i="4"/>
  <c r="O212" i="4"/>
  <c r="K212" i="4"/>
  <c r="Z211" i="4"/>
  <c r="Y211" i="4"/>
  <c r="X211" i="4"/>
  <c r="W211" i="4"/>
  <c r="V211" i="4"/>
  <c r="U211" i="4"/>
  <c r="T211" i="4"/>
  <c r="S211" i="4"/>
  <c r="O211" i="4"/>
  <c r="K211" i="4"/>
  <c r="Z210" i="4"/>
  <c r="Y210" i="4"/>
  <c r="X210" i="4"/>
  <c r="W210" i="4"/>
  <c r="V210" i="4"/>
  <c r="U210" i="4"/>
  <c r="T210" i="4"/>
  <c r="S210" i="4"/>
  <c r="O210" i="4"/>
  <c r="K210" i="4"/>
  <c r="Z209" i="4"/>
  <c r="Y209" i="4"/>
  <c r="X209" i="4"/>
  <c r="W209" i="4"/>
  <c r="V209" i="4"/>
  <c r="U209" i="4"/>
  <c r="T209" i="4"/>
  <c r="S209" i="4"/>
  <c r="O209" i="4"/>
  <c r="K209" i="4"/>
  <c r="Z208" i="4"/>
  <c r="Y208" i="4"/>
  <c r="X208" i="4"/>
  <c r="W208" i="4"/>
  <c r="V208" i="4"/>
  <c r="U208" i="4"/>
  <c r="T208" i="4"/>
  <c r="S208" i="4"/>
  <c r="O208" i="4"/>
  <c r="K208" i="4"/>
  <c r="B208" i="4"/>
  <c r="C208" i="4" s="1"/>
  <c r="B209" i="4" s="1"/>
  <c r="C209" i="4" s="1"/>
  <c r="B210" i="4" s="1"/>
  <c r="C210" i="4" s="1"/>
  <c r="B211" i="4" s="1"/>
  <c r="C211" i="4" s="1"/>
  <c r="B212" i="4" s="1"/>
  <c r="C212" i="4" s="1"/>
  <c r="B213" i="4" s="1"/>
  <c r="C213" i="4" s="1"/>
  <c r="B214" i="4" s="1"/>
  <c r="C214" i="4" s="1"/>
  <c r="B215" i="4" s="1"/>
  <c r="C215" i="4" s="1"/>
  <c r="B216" i="4" s="1"/>
  <c r="C216" i="4" s="1"/>
  <c r="B217" i="4" s="1"/>
  <c r="C217" i="4" s="1"/>
  <c r="Z207" i="4"/>
  <c r="Y207" i="4"/>
  <c r="X207" i="4"/>
  <c r="T139" i="4" s="1"/>
  <c r="W207" i="4"/>
  <c r="V207" i="4"/>
  <c r="U207" i="4"/>
  <c r="T207" i="4"/>
  <c r="S207" i="4"/>
  <c r="O207" i="4"/>
  <c r="K207" i="4"/>
  <c r="B207" i="4"/>
  <c r="C207" i="4" s="1"/>
  <c r="A207" i="4"/>
  <c r="Z206" i="4"/>
  <c r="Y206" i="4"/>
  <c r="X206" i="4"/>
  <c r="W206" i="4"/>
  <c r="V206" i="4"/>
  <c r="U206" i="4"/>
  <c r="T136" i="4" s="1"/>
  <c r="T206" i="4"/>
  <c r="S206" i="4"/>
  <c r="O206" i="4"/>
  <c r="K206" i="4"/>
  <c r="Z205" i="4"/>
  <c r="Y205" i="4"/>
  <c r="X205" i="4"/>
  <c r="W205" i="4"/>
  <c r="V205" i="4"/>
  <c r="U205" i="4"/>
  <c r="T205" i="4"/>
  <c r="S205" i="4"/>
  <c r="O205" i="4"/>
  <c r="K205" i="4"/>
  <c r="Z204" i="4"/>
  <c r="Y204" i="4"/>
  <c r="X204" i="4"/>
  <c r="W204" i="4"/>
  <c r="V204" i="4"/>
  <c r="U204" i="4"/>
  <c r="T204" i="4"/>
  <c r="S204" i="4"/>
  <c r="O204" i="4"/>
  <c r="K204" i="4"/>
  <c r="Z203" i="4"/>
  <c r="Y203" i="4"/>
  <c r="X203" i="4"/>
  <c r="W203" i="4"/>
  <c r="V203" i="4"/>
  <c r="U203" i="4"/>
  <c r="T203" i="4"/>
  <c r="S203" i="4"/>
  <c r="O203" i="4"/>
  <c r="K203" i="4"/>
  <c r="Z202" i="4"/>
  <c r="Y202" i="4"/>
  <c r="X202" i="4"/>
  <c r="W202" i="4"/>
  <c r="V202" i="4"/>
  <c r="U202" i="4"/>
  <c r="T202" i="4"/>
  <c r="S202" i="4"/>
  <c r="O202" i="4"/>
  <c r="K202" i="4"/>
  <c r="Z201" i="4"/>
  <c r="Y201" i="4"/>
  <c r="X201" i="4"/>
  <c r="W201" i="4"/>
  <c r="V201" i="4"/>
  <c r="U201" i="4"/>
  <c r="T201" i="4"/>
  <c r="S201" i="4"/>
  <c r="O201" i="4"/>
  <c r="K201" i="4"/>
  <c r="Z200" i="4"/>
  <c r="Y200" i="4"/>
  <c r="X200" i="4"/>
  <c r="W200" i="4"/>
  <c r="V200" i="4"/>
  <c r="U200" i="4"/>
  <c r="T200" i="4"/>
  <c r="S200" i="4"/>
  <c r="O200" i="4"/>
  <c r="K200" i="4"/>
  <c r="Z199" i="4"/>
  <c r="Y199" i="4"/>
  <c r="X199" i="4"/>
  <c r="W199" i="4"/>
  <c r="V199" i="4"/>
  <c r="U199" i="4"/>
  <c r="T199" i="4"/>
  <c r="S199" i="4"/>
  <c r="O199" i="4"/>
  <c r="K199" i="4"/>
  <c r="Z198" i="4"/>
  <c r="Y198" i="4"/>
  <c r="X198" i="4"/>
  <c r="W198" i="4"/>
  <c r="V198" i="4"/>
  <c r="U198" i="4"/>
  <c r="T198" i="4"/>
  <c r="S198" i="4"/>
  <c r="O198" i="4"/>
  <c r="K198" i="4"/>
  <c r="Z197" i="4"/>
  <c r="Y197" i="4"/>
  <c r="X197" i="4"/>
  <c r="W197" i="4"/>
  <c r="V197" i="4"/>
  <c r="U197" i="4"/>
  <c r="T197" i="4"/>
  <c r="S197" i="4"/>
  <c r="O197" i="4"/>
  <c r="K197" i="4"/>
  <c r="Z196" i="4"/>
  <c r="Y196" i="4"/>
  <c r="S140" i="4" s="1"/>
  <c r="X196" i="4"/>
  <c r="W196" i="4"/>
  <c r="V196" i="4"/>
  <c r="U196" i="4"/>
  <c r="T196" i="4"/>
  <c r="S135" i="4" s="1"/>
  <c r="S196" i="4"/>
  <c r="O196" i="4"/>
  <c r="K196" i="4"/>
  <c r="B196" i="4"/>
  <c r="C196" i="4" s="1"/>
  <c r="B197" i="4" s="1"/>
  <c r="C197" i="4" s="1"/>
  <c r="B198" i="4" s="1"/>
  <c r="C198" i="4" s="1"/>
  <c r="B199" i="4" s="1"/>
  <c r="C199" i="4" s="1"/>
  <c r="B200" i="4" s="1"/>
  <c r="C200" i="4" s="1"/>
  <c r="B201" i="4" s="1"/>
  <c r="C201" i="4" s="1"/>
  <c r="B202" i="4" s="1"/>
  <c r="C202" i="4" s="1"/>
  <c r="B203" i="4" s="1"/>
  <c r="C203" i="4" s="1"/>
  <c r="B204" i="4" s="1"/>
  <c r="C204" i="4" s="1"/>
  <c r="B205" i="4" s="1"/>
  <c r="C205" i="4" s="1"/>
  <c r="B206" i="4" s="1"/>
  <c r="C206" i="4" s="1"/>
  <c r="A196" i="4"/>
  <c r="Z195" i="4"/>
  <c r="S141" i="4" s="1"/>
  <c r="H142" i="4" s="1"/>
  <c r="J142" i="4" s="1"/>
  <c r="L143" i="4" s="1"/>
  <c r="Y195" i="4"/>
  <c r="X195" i="4"/>
  <c r="W195" i="4"/>
  <c r="V195" i="4"/>
  <c r="S137" i="4" s="1"/>
  <c r="U195" i="4"/>
  <c r="S136" i="4" s="1"/>
  <c r="T195" i="4"/>
  <c r="S195" i="4"/>
  <c r="O195" i="4"/>
  <c r="K195" i="4"/>
  <c r="Z194" i="4"/>
  <c r="Y194" i="4"/>
  <c r="X194" i="4"/>
  <c r="W194" i="4"/>
  <c r="V194" i="4"/>
  <c r="U194" i="4"/>
  <c r="T194" i="4"/>
  <c r="S194" i="4"/>
  <c r="O194" i="4"/>
  <c r="K194" i="4"/>
  <c r="Z193" i="4"/>
  <c r="Y193" i="4"/>
  <c r="X193" i="4"/>
  <c r="W193" i="4"/>
  <c r="V193" i="4"/>
  <c r="U193" i="4"/>
  <c r="T193" i="4"/>
  <c r="S193" i="4"/>
  <c r="O193" i="4"/>
  <c r="K193" i="4"/>
  <c r="Z192" i="4"/>
  <c r="Y192" i="4"/>
  <c r="X192" i="4"/>
  <c r="W192" i="4"/>
  <c r="V192" i="4"/>
  <c r="U192" i="4"/>
  <c r="T192" i="4"/>
  <c r="S192" i="4"/>
  <c r="O192" i="4"/>
  <c r="K192" i="4"/>
  <c r="Z191" i="4"/>
  <c r="Y191" i="4"/>
  <c r="X191" i="4"/>
  <c r="W191" i="4"/>
  <c r="V191" i="4"/>
  <c r="U191" i="4"/>
  <c r="T191" i="4"/>
  <c r="S191" i="4"/>
  <c r="O191" i="4"/>
  <c r="K191" i="4"/>
  <c r="Z190" i="4"/>
  <c r="Y190" i="4"/>
  <c r="X190" i="4"/>
  <c r="W190" i="4"/>
  <c r="V190" i="4"/>
  <c r="U190" i="4"/>
  <c r="T190" i="4"/>
  <c r="S190" i="4"/>
  <c r="O190" i="4"/>
  <c r="K190" i="4"/>
  <c r="Z189" i="4"/>
  <c r="Y189" i="4"/>
  <c r="X189" i="4"/>
  <c r="W189" i="4"/>
  <c r="V189" i="4"/>
  <c r="U189" i="4"/>
  <c r="T189" i="4"/>
  <c r="S189" i="4"/>
  <c r="O189" i="4"/>
  <c r="K189" i="4"/>
  <c r="Z188" i="4"/>
  <c r="Y188" i="4"/>
  <c r="X188" i="4"/>
  <c r="W188" i="4"/>
  <c r="V188" i="4"/>
  <c r="U188" i="4"/>
  <c r="T188" i="4"/>
  <c r="S188" i="4"/>
  <c r="O188" i="4"/>
  <c r="K188" i="4"/>
  <c r="Z187" i="4"/>
  <c r="Y187" i="4"/>
  <c r="X187" i="4"/>
  <c r="W187" i="4"/>
  <c r="V187" i="4"/>
  <c r="U187" i="4"/>
  <c r="T187" i="4"/>
  <c r="S187" i="4"/>
  <c r="O187" i="4"/>
  <c r="K187" i="4"/>
  <c r="Z186" i="4"/>
  <c r="Y186" i="4"/>
  <c r="X186" i="4"/>
  <c r="W186" i="4"/>
  <c r="V186" i="4"/>
  <c r="U186" i="4"/>
  <c r="T186" i="4"/>
  <c r="S186" i="4"/>
  <c r="O186" i="4"/>
  <c r="K186" i="4"/>
  <c r="Z185" i="4"/>
  <c r="Y185" i="4"/>
  <c r="X185" i="4"/>
  <c r="W185" i="4"/>
  <c r="V185" i="4"/>
  <c r="U185" i="4"/>
  <c r="T185" i="4"/>
  <c r="S185" i="4"/>
  <c r="R134" i="4" s="1"/>
  <c r="O185" i="4"/>
  <c r="K185" i="4"/>
  <c r="B185" i="4"/>
  <c r="C185" i="4" s="1"/>
  <c r="B186" i="4" s="1"/>
  <c r="C186" i="4" s="1"/>
  <c r="B187" i="4" s="1"/>
  <c r="C187" i="4" s="1"/>
  <c r="B188" i="4" s="1"/>
  <c r="C188" i="4" s="1"/>
  <c r="B189" i="4" s="1"/>
  <c r="C189" i="4" s="1"/>
  <c r="B190" i="4" s="1"/>
  <c r="C190" i="4" s="1"/>
  <c r="B191" i="4" s="1"/>
  <c r="C191" i="4" s="1"/>
  <c r="B192" i="4" s="1"/>
  <c r="C192" i="4" s="1"/>
  <c r="B193" i="4" s="1"/>
  <c r="C193" i="4" s="1"/>
  <c r="B194" i="4" s="1"/>
  <c r="C194" i="4" s="1"/>
  <c r="B195" i="4" s="1"/>
  <c r="C195" i="4" s="1"/>
  <c r="A185" i="4"/>
  <c r="Z184" i="4"/>
  <c r="Y184" i="4"/>
  <c r="R140" i="4" s="1"/>
  <c r="X184" i="4"/>
  <c r="W184" i="4"/>
  <c r="R138" i="4" s="1"/>
  <c r="V184" i="4"/>
  <c r="R137" i="4" s="1"/>
  <c r="U184" i="4"/>
  <c r="R136" i="4" s="1"/>
  <c r="T184" i="4"/>
  <c r="S184" i="4"/>
  <c r="O184" i="4"/>
  <c r="K184" i="4"/>
  <c r="Z183" i="4"/>
  <c r="Y183" i="4"/>
  <c r="X183" i="4"/>
  <c r="W183" i="4"/>
  <c r="V183" i="4"/>
  <c r="U183" i="4"/>
  <c r="T183" i="4"/>
  <c r="S183" i="4"/>
  <c r="O183" i="4"/>
  <c r="K183" i="4"/>
  <c r="Z182" i="4"/>
  <c r="Y182" i="4"/>
  <c r="X182" i="4"/>
  <c r="W182" i="4"/>
  <c r="V182" i="4"/>
  <c r="U182" i="4"/>
  <c r="T182" i="4"/>
  <c r="S182" i="4"/>
  <c r="O182" i="4"/>
  <c r="K182" i="4"/>
  <c r="Z181" i="4"/>
  <c r="Y181" i="4"/>
  <c r="X181" i="4"/>
  <c r="W181" i="4"/>
  <c r="V181" i="4"/>
  <c r="U181" i="4"/>
  <c r="T181" i="4"/>
  <c r="S181" i="4"/>
  <c r="O181" i="4"/>
  <c r="K181" i="4"/>
  <c r="Z180" i="4"/>
  <c r="Y180" i="4"/>
  <c r="X180" i="4"/>
  <c r="W180" i="4"/>
  <c r="V180" i="4"/>
  <c r="U180" i="4"/>
  <c r="T180" i="4"/>
  <c r="S180" i="4"/>
  <c r="O180" i="4"/>
  <c r="K180" i="4"/>
  <c r="Z179" i="4"/>
  <c r="Y179" i="4"/>
  <c r="X179" i="4"/>
  <c r="W179" i="4"/>
  <c r="V179" i="4"/>
  <c r="U179" i="4"/>
  <c r="T179" i="4"/>
  <c r="S179" i="4"/>
  <c r="O179" i="4"/>
  <c r="K179" i="4"/>
  <c r="Z178" i="4"/>
  <c r="Y178" i="4"/>
  <c r="X178" i="4"/>
  <c r="W178" i="4"/>
  <c r="V178" i="4"/>
  <c r="U178" i="4"/>
  <c r="T178" i="4"/>
  <c r="S178" i="4"/>
  <c r="O178" i="4"/>
  <c r="K178" i="4"/>
  <c r="Z177" i="4"/>
  <c r="Y177" i="4"/>
  <c r="X177" i="4"/>
  <c r="W177" i="4"/>
  <c r="V177" i="4"/>
  <c r="U177" i="4"/>
  <c r="T177" i="4"/>
  <c r="S177" i="4"/>
  <c r="O177" i="4"/>
  <c r="K177" i="4"/>
  <c r="Z176" i="4"/>
  <c r="Y176" i="4"/>
  <c r="X176" i="4"/>
  <c r="W176" i="4"/>
  <c r="V176" i="4"/>
  <c r="U176" i="4"/>
  <c r="T176" i="4"/>
  <c r="S176" i="4"/>
  <c r="O176" i="4"/>
  <c r="K176" i="4"/>
  <c r="Z175" i="4"/>
  <c r="Y175" i="4"/>
  <c r="X175" i="4"/>
  <c r="W175" i="4"/>
  <c r="V175" i="4"/>
  <c r="U175" i="4"/>
  <c r="T175" i="4"/>
  <c r="S175" i="4"/>
  <c r="O175" i="4"/>
  <c r="K175" i="4"/>
  <c r="Z174" i="4"/>
  <c r="Y174" i="4"/>
  <c r="X174" i="4"/>
  <c r="W174" i="4"/>
  <c r="V174" i="4"/>
  <c r="V229" i="4" s="1"/>
  <c r="U174" i="4"/>
  <c r="T174" i="4"/>
  <c r="S174" i="4"/>
  <c r="Q134" i="4" s="1"/>
  <c r="Q142" i="4" s="1"/>
  <c r="O174" i="4"/>
  <c r="K174" i="4"/>
  <c r="B174" i="4"/>
  <c r="C174" i="4" s="1"/>
  <c r="B175" i="4" s="1"/>
  <c r="C175" i="4" s="1"/>
  <c r="B176" i="4" s="1"/>
  <c r="C176" i="4" s="1"/>
  <c r="B177" i="4" s="1"/>
  <c r="C177" i="4" s="1"/>
  <c r="B178" i="4" s="1"/>
  <c r="C178" i="4" s="1"/>
  <c r="B179" i="4" s="1"/>
  <c r="C179" i="4" s="1"/>
  <c r="B180" i="4" s="1"/>
  <c r="C180" i="4" s="1"/>
  <c r="B181" i="4" s="1"/>
  <c r="C181" i="4" s="1"/>
  <c r="B182" i="4" s="1"/>
  <c r="C182" i="4" s="1"/>
  <c r="B183" i="4" s="1"/>
  <c r="C183" i="4" s="1"/>
  <c r="B184" i="4" s="1"/>
  <c r="C184" i="4" s="1"/>
  <c r="A174" i="4"/>
  <c r="Z173" i="4"/>
  <c r="Y173" i="4"/>
  <c r="X173" i="4"/>
  <c r="W173" i="4"/>
  <c r="Q138" i="4" s="1"/>
  <c r="V173" i="4"/>
  <c r="U173" i="4"/>
  <c r="Q136" i="4" s="1"/>
  <c r="T173" i="4"/>
  <c r="S173" i="4"/>
  <c r="O173" i="4"/>
  <c r="K173" i="4"/>
  <c r="Z172" i="4"/>
  <c r="Y172" i="4"/>
  <c r="X172" i="4"/>
  <c r="W172" i="4"/>
  <c r="V172" i="4"/>
  <c r="U172" i="4"/>
  <c r="T172" i="4"/>
  <c r="S172" i="4"/>
  <c r="O172" i="4"/>
  <c r="K172" i="4"/>
  <c r="Z171" i="4"/>
  <c r="Y171" i="4"/>
  <c r="X171" i="4"/>
  <c r="W171" i="4"/>
  <c r="V171" i="4"/>
  <c r="U171" i="4"/>
  <c r="T171" i="4"/>
  <c r="S171" i="4"/>
  <c r="O171" i="4"/>
  <c r="K171" i="4"/>
  <c r="Z170" i="4"/>
  <c r="Y170" i="4"/>
  <c r="X170" i="4"/>
  <c r="W170" i="4"/>
  <c r="V170" i="4"/>
  <c r="U170" i="4"/>
  <c r="T170" i="4"/>
  <c r="S170" i="4"/>
  <c r="O170" i="4"/>
  <c r="K170" i="4"/>
  <c r="Z169" i="4"/>
  <c r="Y169" i="4"/>
  <c r="X169" i="4"/>
  <c r="W169" i="4"/>
  <c r="V169" i="4"/>
  <c r="U169" i="4"/>
  <c r="T169" i="4"/>
  <c r="S169" i="4"/>
  <c r="O169" i="4"/>
  <c r="K169" i="4"/>
  <c r="Z168" i="4"/>
  <c r="Y168" i="4"/>
  <c r="X168" i="4"/>
  <c r="W168" i="4"/>
  <c r="V168" i="4"/>
  <c r="U168" i="4"/>
  <c r="T168" i="4"/>
  <c r="S168" i="4"/>
  <c r="O168" i="4"/>
  <c r="K168" i="4"/>
  <c r="Z167" i="4"/>
  <c r="Y167" i="4"/>
  <c r="X167" i="4"/>
  <c r="W167" i="4"/>
  <c r="V167" i="4"/>
  <c r="U167" i="4"/>
  <c r="T167" i="4"/>
  <c r="S167" i="4"/>
  <c r="O167" i="4"/>
  <c r="K167" i="4"/>
  <c r="Z166" i="4"/>
  <c r="Y166" i="4"/>
  <c r="X166" i="4"/>
  <c r="W166" i="4"/>
  <c r="V166" i="4"/>
  <c r="U166" i="4"/>
  <c r="T166" i="4"/>
  <c r="S166" i="4"/>
  <c r="O166" i="4"/>
  <c r="K166" i="4"/>
  <c r="Z165" i="4"/>
  <c r="Y165" i="4"/>
  <c r="X165" i="4"/>
  <c r="W165" i="4"/>
  <c r="V165" i="4"/>
  <c r="U165" i="4"/>
  <c r="T165" i="4"/>
  <c r="S165" i="4"/>
  <c r="O165" i="4"/>
  <c r="K165" i="4"/>
  <c r="Z164" i="4"/>
  <c r="Y164" i="4"/>
  <c r="X164" i="4"/>
  <c r="W164" i="4"/>
  <c r="V164" i="4"/>
  <c r="U164" i="4"/>
  <c r="T164" i="4"/>
  <c r="S164" i="4"/>
  <c r="O164" i="4"/>
  <c r="K164" i="4"/>
  <c r="Z163" i="4"/>
  <c r="Y163" i="4"/>
  <c r="X163" i="4"/>
  <c r="W163" i="4"/>
  <c r="V163" i="4"/>
  <c r="U163" i="4"/>
  <c r="T163" i="4"/>
  <c r="S163" i="4"/>
  <c r="O163" i="4"/>
  <c r="K163" i="4"/>
  <c r="Z162" i="4"/>
  <c r="Y162" i="4"/>
  <c r="X162" i="4"/>
  <c r="W162" i="4"/>
  <c r="V162" i="4"/>
  <c r="U162" i="4"/>
  <c r="U229" i="4" s="1"/>
  <c r="T162" i="4"/>
  <c r="T229" i="4" s="1"/>
  <c r="S162" i="4"/>
  <c r="O162" i="4"/>
  <c r="K162" i="4"/>
  <c r="C162" i="4"/>
  <c r="B163" i="4" s="1"/>
  <c r="C163" i="4" s="1"/>
  <c r="B164" i="4" s="1"/>
  <c r="C164" i="4" s="1"/>
  <c r="B165" i="4" s="1"/>
  <c r="C165" i="4" s="1"/>
  <c r="B166" i="4" s="1"/>
  <c r="C166" i="4" s="1"/>
  <c r="B167" i="4" s="1"/>
  <c r="C167" i="4" s="1"/>
  <c r="B168" i="4" s="1"/>
  <c r="C168" i="4" s="1"/>
  <c r="B169" i="4" s="1"/>
  <c r="C169" i="4" s="1"/>
  <c r="B170" i="4" s="1"/>
  <c r="C170" i="4" s="1"/>
  <c r="B171" i="4" s="1"/>
  <c r="C171" i="4" s="1"/>
  <c r="B172" i="4" s="1"/>
  <c r="C172" i="4" s="1"/>
  <c r="B173" i="4" s="1"/>
  <c r="C173" i="4" s="1"/>
  <c r="B162" i="4"/>
  <c r="A162" i="4"/>
  <c r="L158" i="4"/>
  <c r="K157" i="4"/>
  <c r="K156" i="4"/>
  <c r="K155" i="4"/>
  <c r="K154" i="4"/>
  <c r="K153" i="4"/>
  <c r="K152" i="4"/>
  <c r="K158" i="4" s="1"/>
  <c r="K149" i="4"/>
  <c r="L148" i="4" s="1"/>
  <c r="K146" i="4"/>
  <c r="G146" i="4"/>
  <c r="F146" i="4"/>
  <c r="D146" i="4"/>
  <c r="A146" i="4"/>
  <c r="K144" i="4"/>
  <c r="L144" i="4" s="1"/>
  <c r="F144" i="4"/>
  <c r="D144" i="4"/>
  <c r="A144" i="4"/>
  <c r="K142" i="4"/>
  <c r="L142" i="4" s="1"/>
  <c r="G142" i="4"/>
  <c r="F142" i="4"/>
  <c r="D142" i="4"/>
  <c r="A142" i="4"/>
  <c r="Q141" i="4"/>
  <c r="P141" i="4"/>
  <c r="U140" i="4"/>
  <c r="Q140" i="4"/>
  <c r="P140" i="4"/>
  <c r="K140" i="4"/>
  <c r="L140" i="4" s="1"/>
  <c r="G140" i="4"/>
  <c r="F140" i="4"/>
  <c r="D140" i="4"/>
  <c r="A140" i="4"/>
  <c r="S139" i="4"/>
  <c r="R139" i="4"/>
  <c r="Q139" i="4"/>
  <c r="P139" i="4"/>
  <c r="T138" i="4"/>
  <c r="S138" i="4"/>
  <c r="P138" i="4"/>
  <c r="K138" i="4"/>
  <c r="L138" i="4" s="1"/>
  <c r="H138" i="4"/>
  <c r="J138" i="4" s="1"/>
  <c r="L139" i="4" s="1"/>
  <c r="G138" i="4"/>
  <c r="F138" i="4"/>
  <c r="I138" i="4" s="1"/>
  <c r="D138" i="4"/>
  <c r="A138" i="4"/>
  <c r="U137" i="4"/>
  <c r="T137" i="4"/>
  <c r="Q137" i="4"/>
  <c r="P137" i="4"/>
  <c r="U136" i="4"/>
  <c r="V136" i="4" s="1"/>
  <c r="P136" i="4"/>
  <c r="K136" i="4"/>
  <c r="L136" i="4" s="1"/>
  <c r="G136" i="4"/>
  <c r="F136" i="4"/>
  <c r="D136" i="4"/>
  <c r="A136" i="4"/>
  <c r="U135" i="4"/>
  <c r="T135" i="4"/>
  <c r="R135" i="4"/>
  <c r="Q135" i="4"/>
  <c r="P135" i="4"/>
  <c r="V135" i="4" s="1"/>
  <c r="U134" i="4"/>
  <c r="T134" i="4"/>
  <c r="S134" i="4"/>
  <c r="Z113" i="4"/>
  <c r="Y113" i="4"/>
  <c r="X113" i="4"/>
  <c r="W113" i="4"/>
  <c r="V113" i="4"/>
  <c r="U113" i="4"/>
  <c r="T113" i="4"/>
  <c r="S113" i="4"/>
  <c r="O113" i="4"/>
  <c r="K113" i="4"/>
  <c r="Z112" i="4"/>
  <c r="Y112" i="4"/>
  <c r="X112" i="4"/>
  <c r="W112" i="4"/>
  <c r="V112" i="4"/>
  <c r="U112" i="4"/>
  <c r="T112" i="4"/>
  <c r="S112" i="4"/>
  <c r="O112" i="4"/>
  <c r="K112" i="4"/>
  <c r="Z111" i="4"/>
  <c r="Y111" i="4"/>
  <c r="X111" i="4"/>
  <c r="W111" i="4"/>
  <c r="V111" i="4"/>
  <c r="U111" i="4"/>
  <c r="T111" i="4"/>
  <c r="S111" i="4"/>
  <c r="O111" i="4"/>
  <c r="K111" i="4"/>
  <c r="Z110" i="4"/>
  <c r="Y110" i="4"/>
  <c r="X110" i="4"/>
  <c r="W110" i="4"/>
  <c r="V110" i="4"/>
  <c r="U110" i="4"/>
  <c r="T110" i="4"/>
  <c r="S110" i="4"/>
  <c r="O110" i="4"/>
  <c r="K110" i="4"/>
  <c r="Z109" i="4"/>
  <c r="Y109" i="4"/>
  <c r="X109" i="4"/>
  <c r="W109" i="4"/>
  <c r="V109" i="4"/>
  <c r="U109" i="4"/>
  <c r="T109" i="4"/>
  <c r="S109" i="4"/>
  <c r="O109" i="4"/>
  <c r="K109" i="4"/>
  <c r="Z108" i="4"/>
  <c r="Y108" i="4"/>
  <c r="X108" i="4"/>
  <c r="W108" i="4"/>
  <c r="V108" i="4"/>
  <c r="U108" i="4"/>
  <c r="T108" i="4"/>
  <c r="S108" i="4"/>
  <c r="O108" i="4"/>
  <c r="K108" i="4"/>
  <c r="Z107" i="4"/>
  <c r="Y107" i="4"/>
  <c r="X107" i="4"/>
  <c r="W107" i="4"/>
  <c r="V107" i="4"/>
  <c r="U107" i="4"/>
  <c r="T107" i="4"/>
  <c r="S107" i="4"/>
  <c r="O107" i="4"/>
  <c r="K107" i="4"/>
  <c r="Z106" i="4"/>
  <c r="Y106" i="4"/>
  <c r="X106" i="4"/>
  <c r="W106" i="4"/>
  <c r="V106" i="4"/>
  <c r="U106" i="4"/>
  <c r="T106" i="4"/>
  <c r="S106" i="4"/>
  <c r="O106" i="4"/>
  <c r="K106" i="4"/>
  <c r="Z105" i="4"/>
  <c r="Y105" i="4"/>
  <c r="X105" i="4"/>
  <c r="W105" i="4"/>
  <c r="V105" i="4"/>
  <c r="U105" i="4"/>
  <c r="T105" i="4"/>
  <c r="S105" i="4"/>
  <c r="O105" i="4"/>
  <c r="K105" i="4"/>
  <c r="Z104" i="4"/>
  <c r="Y104" i="4"/>
  <c r="X104" i="4"/>
  <c r="W104" i="4"/>
  <c r="V104" i="4"/>
  <c r="U104" i="4"/>
  <c r="T104" i="4"/>
  <c r="S104" i="4"/>
  <c r="O104" i="4"/>
  <c r="K104" i="4"/>
  <c r="Z103" i="4"/>
  <c r="Y103" i="4"/>
  <c r="X103" i="4"/>
  <c r="W103" i="4"/>
  <c r="V103" i="4"/>
  <c r="U103" i="4"/>
  <c r="T103" i="4"/>
  <c r="S103" i="4"/>
  <c r="U19" i="4" s="1"/>
  <c r="O103" i="4"/>
  <c r="K103" i="4"/>
  <c r="C103" i="4"/>
  <c r="B104" i="4" s="1"/>
  <c r="C104" i="4" s="1"/>
  <c r="B105" i="4" s="1"/>
  <c r="C105" i="4" s="1"/>
  <c r="B106" i="4" s="1"/>
  <c r="C106" i="4" s="1"/>
  <c r="B107" i="4" s="1"/>
  <c r="C107" i="4" s="1"/>
  <c r="B108" i="4" s="1"/>
  <c r="C108" i="4" s="1"/>
  <c r="B109" i="4" s="1"/>
  <c r="C109" i="4" s="1"/>
  <c r="B110" i="4" s="1"/>
  <c r="C110" i="4" s="1"/>
  <c r="B111" i="4" s="1"/>
  <c r="C111" i="4" s="1"/>
  <c r="B112" i="4" s="1"/>
  <c r="C112" i="4" s="1"/>
  <c r="B113" i="4" s="1"/>
  <c r="C113" i="4" s="1"/>
  <c r="B103" i="4"/>
  <c r="A103" i="4"/>
  <c r="Z102" i="4"/>
  <c r="Y102" i="4"/>
  <c r="X102" i="4"/>
  <c r="W102" i="4"/>
  <c r="U23" i="4" s="1"/>
  <c r="V102" i="4"/>
  <c r="U102" i="4"/>
  <c r="U21" i="4" s="1"/>
  <c r="T102" i="4"/>
  <c r="S102" i="4"/>
  <c r="O102" i="4"/>
  <c r="K102" i="4"/>
  <c r="Z101" i="4"/>
  <c r="Y101" i="4"/>
  <c r="X101" i="4"/>
  <c r="W101" i="4"/>
  <c r="V101" i="4"/>
  <c r="U101" i="4"/>
  <c r="T101" i="4"/>
  <c r="S101" i="4"/>
  <c r="O101" i="4"/>
  <c r="K101" i="4"/>
  <c r="Z100" i="4"/>
  <c r="Y100" i="4"/>
  <c r="X100" i="4"/>
  <c r="W100" i="4"/>
  <c r="V100" i="4"/>
  <c r="U100" i="4"/>
  <c r="T100" i="4"/>
  <c r="S100" i="4"/>
  <c r="O100" i="4"/>
  <c r="K100" i="4"/>
  <c r="Z99" i="4"/>
  <c r="Y99" i="4"/>
  <c r="X99" i="4"/>
  <c r="W99" i="4"/>
  <c r="V99" i="4"/>
  <c r="U99" i="4"/>
  <c r="T99" i="4"/>
  <c r="S99" i="4"/>
  <c r="O99" i="4"/>
  <c r="K99" i="4"/>
  <c r="Z98" i="4"/>
  <c r="Y98" i="4"/>
  <c r="X98" i="4"/>
  <c r="W98" i="4"/>
  <c r="V98" i="4"/>
  <c r="U98" i="4"/>
  <c r="T98" i="4"/>
  <c r="S98" i="4"/>
  <c r="O98" i="4"/>
  <c r="K98" i="4"/>
  <c r="Z97" i="4"/>
  <c r="Y97" i="4"/>
  <c r="X97" i="4"/>
  <c r="W97" i="4"/>
  <c r="V97" i="4"/>
  <c r="U97" i="4"/>
  <c r="T97" i="4"/>
  <c r="S97" i="4"/>
  <c r="O97" i="4"/>
  <c r="K97" i="4"/>
  <c r="Z96" i="4"/>
  <c r="Y96" i="4"/>
  <c r="X96" i="4"/>
  <c r="W96" i="4"/>
  <c r="V96" i="4"/>
  <c r="U96" i="4"/>
  <c r="T96" i="4"/>
  <c r="S96" i="4"/>
  <c r="O96" i="4"/>
  <c r="K96" i="4"/>
  <c r="C96" i="4"/>
  <c r="B97" i="4" s="1"/>
  <c r="C97" i="4" s="1"/>
  <c r="B98" i="4" s="1"/>
  <c r="C98" i="4" s="1"/>
  <c r="B99" i="4" s="1"/>
  <c r="C99" i="4" s="1"/>
  <c r="B100" i="4" s="1"/>
  <c r="C100" i="4" s="1"/>
  <c r="B101" i="4" s="1"/>
  <c r="C101" i="4" s="1"/>
  <c r="B102" i="4" s="1"/>
  <c r="C102" i="4" s="1"/>
  <c r="Z95" i="4"/>
  <c r="Y95" i="4"/>
  <c r="X95" i="4"/>
  <c r="W95" i="4"/>
  <c r="V95" i="4"/>
  <c r="U95" i="4"/>
  <c r="T95" i="4"/>
  <c r="S95" i="4"/>
  <c r="O95" i="4"/>
  <c r="K95" i="4"/>
  <c r="C95" i="4"/>
  <c r="B96" i="4" s="1"/>
  <c r="Z94" i="4"/>
  <c r="Y94" i="4"/>
  <c r="X94" i="4"/>
  <c r="W94" i="4"/>
  <c r="V94" i="4"/>
  <c r="U94" i="4"/>
  <c r="T94" i="4"/>
  <c r="S94" i="4"/>
  <c r="O94" i="4"/>
  <c r="K94" i="4"/>
  <c r="C94" i="4"/>
  <c r="B95" i="4" s="1"/>
  <c r="Z93" i="4"/>
  <c r="Y93" i="4"/>
  <c r="X93" i="4"/>
  <c r="W93" i="4"/>
  <c r="V93" i="4"/>
  <c r="U93" i="4"/>
  <c r="T93" i="4"/>
  <c r="S93" i="4"/>
  <c r="O93" i="4"/>
  <c r="K93" i="4"/>
  <c r="C93" i="4"/>
  <c r="B94" i="4" s="1"/>
  <c r="Z92" i="4"/>
  <c r="Y92" i="4"/>
  <c r="X92" i="4"/>
  <c r="W92" i="4"/>
  <c r="V92" i="4"/>
  <c r="U92" i="4"/>
  <c r="T92" i="4"/>
  <c r="S92" i="4"/>
  <c r="O92" i="4"/>
  <c r="K92" i="4"/>
  <c r="C92" i="4"/>
  <c r="B93" i="4" s="1"/>
  <c r="B92" i="4"/>
  <c r="A92" i="4"/>
  <c r="Z91" i="4"/>
  <c r="Y91" i="4"/>
  <c r="X91" i="4"/>
  <c r="W91" i="4"/>
  <c r="V91" i="4"/>
  <c r="U91" i="4"/>
  <c r="T21" i="4" s="1"/>
  <c r="T91" i="4"/>
  <c r="T20" i="4" s="1"/>
  <c r="S91" i="4"/>
  <c r="O91" i="4"/>
  <c r="K91" i="4"/>
  <c r="Z90" i="4"/>
  <c r="Y90" i="4"/>
  <c r="X90" i="4"/>
  <c r="W90" i="4"/>
  <c r="V90" i="4"/>
  <c r="U90" i="4"/>
  <c r="T90" i="4"/>
  <c r="S90" i="4"/>
  <c r="O90" i="4"/>
  <c r="K90" i="4"/>
  <c r="Z89" i="4"/>
  <c r="Y89" i="4"/>
  <c r="X89" i="4"/>
  <c r="W89" i="4"/>
  <c r="V89" i="4"/>
  <c r="U89" i="4"/>
  <c r="T89" i="4"/>
  <c r="S89" i="4"/>
  <c r="O89" i="4"/>
  <c r="K89" i="4"/>
  <c r="Z88" i="4"/>
  <c r="Y88" i="4"/>
  <c r="X88" i="4"/>
  <c r="W88" i="4"/>
  <c r="V88" i="4"/>
  <c r="U88" i="4"/>
  <c r="T88" i="4"/>
  <c r="S88" i="4"/>
  <c r="O88" i="4"/>
  <c r="K88" i="4"/>
  <c r="Z87" i="4"/>
  <c r="Y87" i="4"/>
  <c r="X87" i="4"/>
  <c r="W87" i="4"/>
  <c r="V87" i="4"/>
  <c r="U87" i="4"/>
  <c r="T87" i="4"/>
  <c r="S87" i="4"/>
  <c r="O87" i="4"/>
  <c r="K87" i="4"/>
  <c r="Z86" i="4"/>
  <c r="Y86" i="4"/>
  <c r="X86" i="4"/>
  <c r="W86" i="4"/>
  <c r="V86" i="4"/>
  <c r="U86" i="4"/>
  <c r="T86" i="4"/>
  <c r="S86" i="4"/>
  <c r="O86" i="4"/>
  <c r="K86" i="4"/>
  <c r="Z85" i="4"/>
  <c r="Y85" i="4"/>
  <c r="X85" i="4"/>
  <c r="W85" i="4"/>
  <c r="V85" i="4"/>
  <c r="U85" i="4"/>
  <c r="T85" i="4"/>
  <c r="S85" i="4"/>
  <c r="O85" i="4"/>
  <c r="K85" i="4"/>
  <c r="Z84" i="4"/>
  <c r="Y84" i="4"/>
  <c r="X84" i="4"/>
  <c r="W84" i="4"/>
  <c r="V84" i="4"/>
  <c r="U84" i="4"/>
  <c r="T84" i="4"/>
  <c r="S84" i="4"/>
  <c r="O84" i="4"/>
  <c r="K84" i="4"/>
  <c r="Z83" i="4"/>
  <c r="Y83" i="4"/>
  <c r="X83" i="4"/>
  <c r="W83" i="4"/>
  <c r="V83" i="4"/>
  <c r="U83" i="4"/>
  <c r="T83" i="4"/>
  <c r="S83" i="4"/>
  <c r="O83" i="4"/>
  <c r="K83" i="4"/>
  <c r="Z82" i="4"/>
  <c r="Y82" i="4"/>
  <c r="X82" i="4"/>
  <c r="W82" i="4"/>
  <c r="V82" i="4"/>
  <c r="U82" i="4"/>
  <c r="T82" i="4"/>
  <c r="S82" i="4"/>
  <c r="O82" i="4"/>
  <c r="K82" i="4"/>
  <c r="Z81" i="4"/>
  <c r="Y81" i="4"/>
  <c r="X81" i="4"/>
  <c r="W81" i="4"/>
  <c r="V81" i="4"/>
  <c r="U81" i="4"/>
  <c r="T81" i="4"/>
  <c r="S81" i="4"/>
  <c r="O81" i="4"/>
  <c r="K81" i="4"/>
  <c r="C81" i="4"/>
  <c r="B82" i="4" s="1"/>
  <c r="C82" i="4" s="1"/>
  <c r="B83" i="4" s="1"/>
  <c r="C83" i="4" s="1"/>
  <c r="B84" i="4" s="1"/>
  <c r="C84" i="4" s="1"/>
  <c r="B85" i="4" s="1"/>
  <c r="C85" i="4" s="1"/>
  <c r="B86" i="4" s="1"/>
  <c r="C86" i="4" s="1"/>
  <c r="B87" i="4" s="1"/>
  <c r="C87" i="4" s="1"/>
  <c r="B88" i="4" s="1"/>
  <c r="C88" i="4" s="1"/>
  <c r="B89" i="4" s="1"/>
  <c r="C89" i="4" s="1"/>
  <c r="B90" i="4" s="1"/>
  <c r="C90" i="4" s="1"/>
  <c r="B91" i="4" s="1"/>
  <c r="C91" i="4" s="1"/>
  <c r="B81" i="4"/>
  <c r="A81" i="4"/>
  <c r="Z80" i="4"/>
  <c r="Y80" i="4"/>
  <c r="S25" i="4" s="1"/>
  <c r="X80" i="4"/>
  <c r="W80" i="4"/>
  <c r="S23" i="4" s="1"/>
  <c r="V80" i="4"/>
  <c r="U80" i="4"/>
  <c r="S21" i="4" s="1"/>
  <c r="T80" i="4"/>
  <c r="S20" i="4" s="1"/>
  <c r="S80" i="4"/>
  <c r="O80" i="4"/>
  <c r="K80" i="4"/>
  <c r="Z79" i="4"/>
  <c r="Y79" i="4"/>
  <c r="X79" i="4"/>
  <c r="W79" i="4"/>
  <c r="V79" i="4"/>
  <c r="U79" i="4"/>
  <c r="T79" i="4"/>
  <c r="S79" i="4"/>
  <c r="O79" i="4"/>
  <c r="K79" i="4"/>
  <c r="Z78" i="4"/>
  <c r="Y78" i="4"/>
  <c r="X78" i="4"/>
  <c r="W78" i="4"/>
  <c r="V78" i="4"/>
  <c r="U78" i="4"/>
  <c r="T78" i="4"/>
  <c r="S78" i="4"/>
  <c r="O78" i="4"/>
  <c r="K78" i="4"/>
  <c r="Z77" i="4"/>
  <c r="Y77" i="4"/>
  <c r="X77" i="4"/>
  <c r="W77" i="4"/>
  <c r="V77" i="4"/>
  <c r="U77" i="4"/>
  <c r="T77" i="4"/>
  <c r="S77" i="4"/>
  <c r="O77" i="4"/>
  <c r="K77" i="4"/>
  <c r="Z76" i="4"/>
  <c r="Y76" i="4"/>
  <c r="X76" i="4"/>
  <c r="W76" i="4"/>
  <c r="V76" i="4"/>
  <c r="U76" i="4"/>
  <c r="T76" i="4"/>
  <c r="S76" i="4"/>
  <c r="O76" i="4"/>
  <c r="K76" i="4"/>
  <c r="Z75" i="4"/>
  <c r="Y75" i="4"/>
  <c r="X75" i="4"/>
  <c r="W75" i="4"/>
  <c r="V75" i="4"/>
  <c r="U75" i="4"/>
  <c r="T75" i="4"/>
  <c r="S75" i="4"/>
  <c r="O75" i="4"/>
  <c r="K75" i="4"/>
  <c r="Z74" i="4"/>
  <c r="Y74" i="4"/>
  <c r="X74" i="4"/>
  <c r="W74" i="4"/>
  <c r="V74" i="4"/>
  <c r="U74" i="4"/>
  <c r="T74" i="4"/>
  <c r="S74" i="4"/>
  <c r="O74" i="4"/>
  <c r="K74" i="4"/>
  <c r="Z73" i="4"/>
  <c r="Y73" i="4"/>
  <c r="X73" i="4"/>
  <c r="W73" i="4"/>
  <c r="V73" i="4"/>
  <c r="U73" i="4"/>
  <c r="T73" i="4"/>
  <c r="R20" i="4" s="1"/>
  <c r="S73" i="4"/>
  <c r="O73" i="4"/>
  <c r="K73" i="4"/>
  <c r="Z72" i="4"/>
  <c r="Y72" i="4"/>
  <c r="X72" i="4"/>
  <c r="W72" i="4"/>
  <c r="V72" i="4"/>
  <c r="U72" i="4"/>
  <c r="T72" i="4"/>
  <c r="S72" i="4"/>
  <c r="O72" i="4"/>
  <c r="K72" i="4"/>
  <c r="Z71" i="4"/>
  <c r="Y71" i="4"/>
  <c r="X71" i="4"/>
  <c r="W71" i="4"/>
  <c r="V71" i="4"/>
  <c r="U71" i="4"/>
  <c r="T71" i="4"/>
  <c r="S71" i="4"/>
  <c r="O71" i="4"/>
  <c r="K71" i="4"/>
  <c r="Z70" i="4"/>
  <c r="Y70" i="4"/>
  <c r="R25" i="4" s="1"/>
  <c r="X70" i="4"/>
  <c r="W70" i="4"/>
  <c r="V70" i="4"/>
  <c r="U70" i="4"/>
  <c r="T70" i="4"/>
  <c r="S70" i="4"/>
  <c r="O70" i="4"/>
  <c r="K70" i="4"/>
  <c r="C70" i="4"/>
  <c r="B71" i="4" s="1"/>
  <c r="C71" i="4" s="1"/>
  <c r="B72" i="4" s="1"/>
  <c r="C72" i="4" s="1"/>
  <c r="B73" i="4" s="1"/>
  <c r="C73" i="4" s="1"/>
  <c r="B74" i="4" s="1"/>
  <c r="C74" i="4" s="1"/>
  <c r="B75" i="4" s="1"/>
  <c r="C75" i="4" s="1"/>
  <c r="B76" i="4" s="1"/>
  <c r="C76" i="4" s="1"/>
  <c r="B77" i="4" s="1"/>
  <c r="C77" i="4" s="1"/>
  <c r="B78" i="4" s="1"/>
  <c r="C78" i="4" s="1"/>
  <c r="B79" i="4" s="1"/>
  <c r="C79" i="4" s="1"/>
  <c r="B80" i="4" s="1"/>
  <c r="C80" i="4" s="1"/>
  <c r="B70" i="4"/>
  <c r="A70" i="4"/>
  <c r="Z69" i="4"/>
  <c r="Y69" i="4"/>
  <c r="X69" i="4"/>
  <c r="W69" i="4"/>
  <c r="R23" i="4" s="1"/>
  <c r="V69" i="4"/>
  <c r="U69" i="4"/>
  <c r="T69" i="4"/>
  <c r="S69" i="4"/>
  <c r="O69" i="4"/>
  <c r="K69" i="4"/>
  <c r="Z68" i="4"/>
  <c r="Y68" i="4"/>
  <c r="X68" i="4"/>
  <c r="W68" i="4"/>
  <c r="V68" i="4"/>
  <c r="U68" i="4"/>
  <c r="T68" i="4"/>
  <c r="S68" i="4"/>
  <c r="O68" i="4"/>
  <c r="K68" i="4"/>
  <c r="Z67" i="4"/>
  <c r="Y67" i="4"/>
  <c r="X67" i="4"/>
  <c r="W67" i="4"/>
  <c r="V67" i="4"/>
  <c r="U67" i="4"/>
  <c r="T67" i="4"/>
  <c r="S67" i="4"/>
  <c r="O67" i="4"/>
  <c r="K67" i="4"/>
  <c r="Z66" i="4"/>
  <c r="Y66" i="4"/>
  <c r="X66" i="4"/>
  <c r="W66" i="4"/>
  <c r="V66" i="4"/>
  <c r="U66" i="4"/>
  <c r="T66" i="4"/>
  <c r="S66" i="4"/>
  <c r="O66" i="4"/>
  <c r="K66" i="4"/>
  <c r="Z65" i="4"/>
  <c r="Y65" i="4"/>
  <c r="X65" i="4"/>
  <c r="W65" i="4"/>
  <c r="V65" i="4"/>
  <c r="U65" i="4"/>
  <c r="T65" i="4"/>
  <c r="S65" i="4"/>
  <c r="O65" i="4"/>
  <c r="K65" i="4"/>
  <c r="Z64" i="4"/>
  <c r="Y64" i="4"/>
  <c r="X64" i="4"/>
  <c r="W64" i="4"/>
  <c r="V64" i="4"/>
  <c r="U64" i="4"/>
  <c r="T64" i="4"/>
  <c r="S64" i="4"/>
  <c r="O64" i="4"/>
  <c r="K64" i="4"/>
  <c r="Z63" i="4"/>
  <c r="Y63" i="4"/>
  <c r="X63" i="4"/>
  <c r="W63" i="4"/>
  <c r="V63" i="4"/>
  <c r="U63" i="4"/>
  <c r="T63" i="4"/>
  <c r="S63" i="4"/>
  <c r="O63" i="4"/>
  <c r="K63" i="4"/>
  <c r="Z62" i="4"/>
  <c r="Y62" i="4"/>
  <c r="X62" i="4"/>
  <c r="W62" i="4"/>
  <c r="V62" i="4"/>
  <c r="U62" i="4"/>
  <c r="T62" i="4"/>
  <c r="S62" i="4"/>
  <c r="O62" i="4"/>
  <c r="K62" i="4"/>
  <c r="Z61" i="4"/>
  <c r="Y61" i="4"/>
  <c r="X61" i="4"/>
  <c r="W61" i="4"/>
  <c r="V61" i="4"/>
  <c r="Q22" i="4" s="1"/>
  <c r="U61" i="4"/>
  <c r="T61" i="4"/>
  <c r="S61" i="4"/>
  <c r="O61" i="4"/>
  <c r="K61" i="4"/>
  <c r="Z60" i="4"/>
  <c r="Y60" i="4"/>
  <c r="X60" i="4"/>
  <c r="W60" i="4"/>
  <c r="V60" i="4"/>
  <c r="U60" i="4"/>
  <c r="T60" i="4"/>
  <c r="Q20" i="4" s="1"/>
  <c r="S60" i="4"/>
  <c r="O60" i="4"/>
  <c r="K60" i="4"/>
  <c r="Z59" i="4"/>
  <c r="Z114" i="4" s="1"/>
  <c r="Y59" i="4"/>
  <c r="X59" i="4"/>
  <c r="W59" i="4"/>
  <c r="V59" i="4"/>
  <c r="U59" i="4"/>
  <c r="T59" i="4"/>
  <c r="S59" i="4"/>
  <c r="O59" i="4"/>
  <c r="K59" i="4"/>
  <c r="B59" i="4"/>
  <c r="C59" i="4" s="1"/>
  <c r="B60" i="4" s="1"/>
  <c r="C60" i="4" s="1"/>
  <c r="B61" i="4" s="1"/>
  <c r="C61" i="4" s="1"/>
  <c r="B62" i="4" s="1"/>
  <c r="C62" i="4" s="1"/>
  <c r="B63" i="4" s="1"/>
  <c r="C63" i="4" s="1"/>
  <c r="B64" i="4" s="1"/>
  <c r="C64" i="4" s="1"/>
  <c r="B65" i="4" s="1"/>
  <c r="C65" i="4" s="1"/>
  <c r="B66" i="4" s="1"/>
  <c r="C66" i="4" s="1"/>
  <c r="B67" i="4" s="1"/>
  <c r="C67" i="4" s="1"/>
  <c r="B68" i="4" s="1"/>
  <c r="C68" i="4" s="1"/>
  <c r="B69" i="4" s="1"/>
  <c r="C69" i="4" s="1"/>
  <c r="A59" i="4"/>
  <c r="Z58" i="4"/>
  <c r="Y58" i="4"/>
  <c r="X58" i="4"/>
  <c r="W58" i="4"/>
  <c r="Q23" i="4" s="1"/>
  <c r="V58" i="4"/>
  <c r="U58" i="4"/>
  <c r="T58" i="4"/>
  <c r="S58" i="4"/>
  <c r="O58" i="4"/>
  <c r="K58" i="4"/>
  <c r="Z57" i="4"/>
  <c r="Y57" i="4"/>
  <c r="X57" i="4"/>
  <c r="W57" i="4"/>
  <c r="V57" i="4"/>
  <c r="U57" i="4"/>
  <c r="T57" i="4"/>
  <c r="S57" i="4"/>
  <c r="O57" i="4"/>
  <c r="K57" i="4"/>
  <c r="Z56" i="4"/>
  <c r="Y56" i="4"/>
  <c r="X56" i="4"/>
  <c r="W56" i="4"/>
  <c r="V56" i="4"/>
  <c r="U56" i="4"/>
  <c r="T56" i="4"/>
  <c r="S56" i="4"/>
  <c r="O56" i="4"/>
  <c r="K56" i="4"/>
  <c r="Z55" i="4"/>
  <c r="Y55" i="4"/>
  <c r="X55" i="4"/>
  <c r="W55" i="4"/>
  <c r="V55" i="4"/>
  <c r="U55" i="4"/>
  <c r="T55" i="4"/>
  <c r="S55" i="4"/>
  <c r="O55" i="4"/>
  <c r="K55" i="4"/>
  <c r="Z54" i="4"/>
  <c r="Y54" i="4"/>
  <c r="X54" i="4"/>
  <c r="W54" i="4"/>
  <c r="V54" i="4"/>
  <c r="U54" i="4"/>
  <c r="T54" i="4"/>
  <c r="S54" i="4"/>
  <c r="O54" i="4"/>
  <c r="K54" i="4"/>
  <c r="Z53" i="4"/>
  <c r="Y53" i="4"/>
  <c r="X53" i="4"/>
  <c r="W53" i="4"/>
  <c r="V53" i="4"/>
  <c r="U53" i="4"/>
  <c r="T53" i="4"/>
  <c r="S53" i="4"/>
  <c r="O53" i="4"/>
  <c r="K53" i="4"/>
  <c r="Z52" i="4"/>
  <c r="Y52" i="4"/>
  <c r="X52" i="4"/>
  <c r="W52" i="4"/>
  <c r="V52" i="4"/>
  <c r="U52" i="4"/>
  <c r="T52" i="4"/>
  <c r="S52" i="4"/>
  <c r="O52" i="4"/>
  <c r="K52" i="4"/>
  <c r="Z51" i="4"/>
  <c r="Y51" i="4"/>
  <c r="X51" i="4"/>
  <c r="W51" i="4"/>
  <c r="V51" i="4"/>
  <c r="U51" i="4"/>
  <c r="T51" i="4"/>
  <c r="S51" i="4"/>
  <c r="O51" i="4"/>
  <c r="K51" i="4"/>
  <c r="Z50" i="4"/>
  <c r="Y50" i="4"/>
  <c r="X50" i="4"/>
  <c r="W50" i="4"/>
  <c r="V50" i="4"/>
  <c r="U50" i="4"/>
  <c r="T50" i="4"/>
  <c r="S50" i="4"/>
  <c r="O50" i="4"/>
  <c r="K50" i="4"/>
  <c r="Z49" i="4"/>
  <c r="Y49" i="4"/>
  <c r="X49" i="4"/>
  <c r="W49" i="4"/>
  <c r="V49" i="4"/>
  <c r="U49" i="4"/>
  <c r="T49" i="4"/>
  <c r="S49" i="4"/>
  <c r="O49" i="4"/>
  <c r="K49" i="4"/>
  <c r="Z48" i="4"/>
  <c r="Y48" i="4"/>
  <c r="X48" i="4"/>
  <c r="W48" i="4"/>
  <c r="P23" i="4" s="1"/>
  <c r="V23" i="4" s="1"/>
  <c r="V48" i="4"/>
  <c r="U48" i="4"/>
  <c r="T48" i="4"/>
  <c r="S48" i="4"/>
  <c r="O48" i="4"/>
  <c r="K48" i="4"/>
  <c r="Z47" i="4"/>
  <c r="Y47" i="4"/>
  <c r="Y114" i="4" s="1"/>
  <c r="X47" i="4"/>
  <c r="P24" i="4" s="1"/>
  <c r="V24" i="4" s="1"/>
  <c r="W47" i="4"/>
  <c r="V47" i="4"/>
  <c r="U47" i="4"/>
  <c r="U114" i="4" s="1"/>
  <c r="T47" i="4"/>
  <c r="S47" i="4"/>
  <c r="O47" i="4"/>
  <c r="K47" i="4"/>
  <c r="B47" i="4"/>
  <c r="C47" i="4" s="1"/>
  <c r="B48" i="4" s="1"/>
  <c r="C48" i="4" s="1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A47" i="4"/>
  <c r="L43" i="4"/>
  <c r="K42" i="4"/>
  <c r="K41" i="4"/>
  <c r="K40" i="4"/>
  <c r="K39" i="4"/>
  <c r="K38" i="4"/>
  <c r="K37" i="4"/>
  <c r="K31" i="4"/>
  <c r="J31" i="4"/>
  <c r="H31" i="4"/>
  <c r="G31" i="4"/>
  <c r="F31" i="4"/>
  <c r="D31" i="4"/>
  <c r="A31" i="4"/>
  <c r="L29" i="4"/>
  <c r="K29" i="4"/>
  <c r="G29" i="4"/>
  <c r="F29" i="4"/>
  <c r="D29" i="4"/>
  <c r="A29" i="4"/>
  <c r="L27" i="4"/>
  <c r="K27" i="4"/>
  <c r="F27" i="4"/>
  <c r="D27" i="4"/>
  <c r="A27" i="4"/>
  <c r="U26" i="4"/>
  <c r="T26" i="4"/>
  <c r="S26" i="4"/>
  <c r="R26" i="4"/>
  <c r="Q26" i="4"/>
  <c r="V26" i="4" s="1"/>
  <c r="P26" i="4"/>
  <c r="U25" i="4"/>
  <c r="T25" i="4"/>
  <c r="Q25" i="4"/>
  <c r="P25" i="4"/>
  <c r="K25" i="4"/>
  <c r="F25" i="4"/>
  <c r="D25" i="4"/>
  <c r="A25" i="4"/>
  <c r="U24" i="4"/>
  <c r="T24" i="4"/>
  <c r="S24" i="4"/>
  <c r="R24" i="4"/>
  <c r="Q24" i="4"/>
  <c r="T23" i="4"/>
  <c r="K23" i="4"/>
  <c r="F23" i="4"/>
  <c r="D23" i="4"/>
  <c r="A23" i="4"/>
  <c r="U22" i="4"/>
  <c r="T22" i="4"/>
  <c r="S22" i="4"/>
  <c r="R22" i="4"/>
  <c r="K21" i="4"/>
  <c r="J21" i="4"/>
  <c r="F21" i="4"/>
  <c r="D21" i="4"/>
  <c r="A21" i="4"/>
  <c r="U20" i="4"/>
  <c r="P19" i="4"/>
  <c r="H21" i="4" s="1"/>
  <c r="V138" i="4" l="1"/>
  <c r="S19" i="4"/>
  <c r="T141" i="4"/>
  <c r="H144" i="4" s="1"/>
  <c r="J144" i="4" s="1"/>
  <c r="L145" i="4" s="1"/>
  <c r="L22" i="4"/>
  <c r="K34" i="4"/>
  <c r="G21" i="4"/>
  <c r="G23" i="4"/>
  <c r="Q19" i="4"/>
  <c r="V19" i="4" s="1"/>
  <c r="H3" i="4"/>
  <c r="L21" i="4"/>
  <c r="G25" i="4"/>
  <c r="K43" i="4"/>
  <c r="P22" i="4"/>
  <c r="V22" i="4" s="1"/>
  <c r="U139" i="4"/>
  <c r="V139" i="4" s="1"/>
  <c r="P21" i="4"/>
  <c r="V21" i="4" s="1"/>
  <c r="W114" i="4"/>
  <c r="Q21" i="4"/>
  <c r="S114" i="4"/>
  <c r="V137" i="4"/>
  <c r="R141" i="4"/>
  <c r="H140" i="4" s="1"/>
  <c r="J140" i="4" s="1"/>
  <c r="L141" i="4" s="1"/>
  <c r="T140" i="4"/>
  <c r="V140" i="4" s="1"/>
  <c r="L32" i="4"/>
  <c r="P20" i="4"/>
  <c r="P134" i="4"/>
  <c r="S229" i="4"/>
  <c r="V25" i="4"/>
  <c r="T19" i="4"/>
  <c r="T114" i="4"/>
  <c r="W229" i="4"/>
  <c r="U141" i="4"/>
  <c r="X229" i="4"/>
  <c r="G27" i="4"/>
  <c r="R19" i="4"/>
  <c r="V114" i="4"/>
  <c r="Y229" i="4"/>
  <c r="R21" i="4"/>
  <c r="U27" i="4"/>
  <c r="I31" i="4" s="1"/>
  <c r="S142" i="4"/>
  <c r="I142" i="4" s="1"/>
  <c r="Z229" i="4"/>
  <c r="H146" i="4"/>
  <c r="J146" i="4" s="1"/>
  <c r="L147" i="4" s="1"/>
  <c r="U142" i="4"/>
  <c r="I146" i="4" s="1"/>
  <c r="L31" i="4"/>
  <c r="X114" i="4"/>
  <c r="G144" i="4"/>
  <c r="L146" i="4"/>
  <c r="V20" i="4" l="1"/>
  <c r="P27" i="4"/>
  <c r="H27" i="4"/>
  <c r="J27" i="4" s="1"/>
  <c r="L28" i="4" s="1"/>
  <c r="S27" i="4"/>
  <c r="I27" i="4" s="1"/>
  <c r="T142" i="4"/>
  <c r="I144" i="4" s="1"/>
  <c r="R142" i="4"/>
  <c r="I140" i="4" s="1"/>
  <c r="P142" i="4"/>
  <c r="H136" i="4"/>
  <c r="J136" i="4" s="1"/>
  <c r="V134" i="4"/>
  <c r="H25" i="4"/>
  <c r="J25" i="4" s="1"/>
  <c r="R27" i="4"/>
  <c r="I25" i="4" s="1"/>
  <c r="H23" i="4"/>
  <c r="J23" i="4" s="1"/>
  <c r="Q27" i="4"/>
  <c r="I23" i="4" s="1"/>
  <c r="T27" i="4"/>
  <c r="I29" i="4" s="1"/>
  <c r="H29" i="4"/>
  <c r="J29" i="4" s="1"/>
  <c r="L30" i="4" s="1"/>
  <c r="V141" i="4"/>
  <c r="L26" i="4" l="1"/>
  <c r="L25" i="4"/>
  <c r="V142" i="4"/>
  <c r="I136" i="4"/>
  <c r="V27" i="4"/>
  <c r="I21" i="4"/>
  <c r="G3" i="4"/>
  <c r="L24" i="4"/>
  <c r="L23" i="4"/>
  <c r="J34" i="4"/>
  <c r="L33" i="4" s="1"/>
  <c r="J149" i="4"/>
  <c r="L137" i="4"/>
  <c r="Z228" i="3" l="1"/>
  <c r="Y228" i="3"/>
  <c r="X228" i="3"/>
  <c r="W228" i="3"/>
  <c r="V228" i="3"/>
  <c r="U228" i="3"/>
  <c r="T228" i="3"/>
  <c r="S228" i="3"/>
  <c r="O228" i="3"/>
  <c r="K228" i="3"/>
  <c r="Z227" i="3"/>
  <c r="Y227" i="3"/>
  <c r="X227" i="3"/>
  <c r="W227" i="3"/>
  <c r="V227" i="3"/>
  <c r="U227" i="3"/>
  <c r="T227" i="3"/>
  <c r="S227" i="3"/>
  <c r="O227" i="3"/>
  <c r="K227" i="3"/>
  <c r="Z226" i="3"/>
  <c r="Y226" i="3"/>
  <c r="X226" i="3"/>
  <c r="W226" i="3"/>
  <c r="V226" i="3"/>
  <c r="U226" i="3"/>
  <c r="T226" i="3"/>
  <c r="S226" i="3"/>
  <c r="O226" i="3"/>
  <c r="K226" i="3"/>
  <c r="Z225" i="3"/>
  <c r="Y225" i="3"/>
  <c r="X225" i="3"/>
  <c r="W225" i="3"/>
  <c r="V225" i="3"/>
  <c r="U225" i="3"/>
  <c r="T225" i="3"/>
  <c r="S225" i="3"/>
  <c r="O225" i="3"/>
  <c r="K225" i="3"/>
  <c r="Z224" i="3"/>
  <c r="Y224" i="3"/>
  <c r="X224" i="3"/>
  <c r="W224" i="3"/>
  <c r="V224" i="3"/>
  <c r="U224" i="3"/>
  <c r="T224" i="3"/>
  <c r="S224" i="3"/>
  <c r="O224" i="3"/>
  <c r="K224" i="3"/>
  <c r="Z223" i="3"/>
  <c r="Y223" i="3"/>
  <c r="X223" i="3"/>
  <c r="W223" i="3"/>
  <c r="V223" i="3"/>
  <c r="U223" i="3"/>
  <c r="T223" i="3"/>
  <c r="S223" i="3"/>
  <c r="O223" i="3"/>
  <c r="K223" i="3"/>
  <c r="Z222" i="3"/>
  <c r="Y222" i="3"/>
  <c r="X222" i="3"/>
  <c r="W222" i="3"/>
  <c r="V222" i="3"/>
  <c r="U222" i="3"/>
  <c r="T222" i="3"/>
  <c r="S222" i="3"/>
  <c r="O222" i="3"/>
  <c r="K222" i="3"/>
  <c r="Z221" i="3"/>
  <c r="Y221" i="3"/>
  <c r="X221" i="3"/>
  <c r="W221" i="3"/>
  <c r="V221" i="3"/>
  <c r="U221" i="3"/>
  <c r="T221" i="3"/>
  <c r="S221" i="3"/>
  <c r="O221" i="3"/>
  <c r="K221" i="3"/>
  <c r="Z220" i="3"/>
  <c r="Y220" i="3"/>
  <c r="U140" i="3" s="1"/>
  <c r="X220" i="3"/>
  <c r="W220" i="3"/>
  <c r="V220" i="3"/>
  <c r="U220" i="3"/>
  <c r="T220" i="3"/>
  <c r="S220" i="3"/>
  <c r="O220" i="3"/>
  <c r="K220" i="3"/>
  <c r="Z219" i="3"/>
  <c r="Y219" i="3"/>
  <c r="X219" i="3"/>
  <c r="U139" i="3" s="1"/>
  <c r="W219" i="3"/>
  <c r="U138" i="3" s="1"/>
  <c r="V219" i="3"/>
  <c r="U219" i="3"/>
  <c r="T219" i="3"/>
  <c r="S219" i="3"/>
  <c r="O219" i="3"/>
  <c r="K219" i="3"/>
  <c r="Z218" i="3"/>
  <c r="U141" i="3" s="1"/>
  <c r="Y218" i="3"/>
  <c r="X218" i="3"/>
  <c r="W218" i="3"/>
  <c r="V218" i="3"/>
  <c r="U137" i="3" s="1"/>
  <c r="U218" i="3"/>
  <c r="T218" i="3"/>
  <c r="S218" i="3"/>
  <c r="O218" i="3"/>
  <c r="K218" i="3"/>
  <c r="A218" i="3"/>
  <c r="Z217" i="3"/>
  <c r="Y217" i="3"/>
  <c r="X217" i="3"/>
  <c r="W217" i="3"/>
  <c r="V217" i="3"/>
  <c r="U217" i="3"/>
  <c r="T217" i="3"/>
  <c r="U135" i="3" s="1"/>
  <c r="S217" i="3"/>
  <c r="O217" i="3"/>
  <c r="K217" i="3"/>
  <c r="Z216" i="3"/>
  <c r="Y216" i="3"/>
  <c r="X216" i="3"/>
  <c r="W216" i="3"/>
  <c r="V216" i="3"/>
  <c r="U216" i="3"/>
  <c r="T216" i="3"/>
  <c r="S216" i="3"/>
  <c r="O216" i="3"/>
  <c r="K216" i="3"/>
  <c r="Z215" i="3"/>
  <c r="Y215" i="3"/>
  <c r="X215" i="3"/>
  <c r="W215" i="3"/>
  <c r="V215" i="3"/>
  <c r="U215" i="3"/>
  <c r="T215" i="3"/>
  <c r="S215" i="3"/>
  <c r="O215" i="3"/>
  <c r="K215" i="3"/>
  <c r="Z214" i="3"/>
  <c r="Y214" i="3"/>
  <c r="X214" i="3"/>
  <c r="W214" i="3"/>
  <c r="V214" i="3"/>
  <c r="U214" i="3"/>
  <c r="T214" i="3"/>
  <c r="S214" i="3"/>
  <c r="O214" i="3"/>
  <c r="K214" i="3"/>
  <c r="Z213" i="3"/>
  <c r="Y213" i="3"/>
  <c r="X213" i="3"/>
  <c r="W213" i="3"/>
  <c r="V213" i="3"/>
  <c r="U213" i="3"/>
  <c r="T213" i="3"/>
  <c r="S213" i="3"/>
  <c r="O213" i="3"/>
  <c r="K213" i="3"/>
  <c r="Z212" i="3"/>
  <c r="Y212" i="3"/>
  <c r="X212" i="3"/>
  <c r="W212" i="3"/>
  <c r="V212" i="3"/>
  <c r="U212" i="3"/>
  <c r="T212" i="3"/>
  <c r="S212" i="3"/>
  <c r="O212" i="3"/>
  <c r="K212" i="3"/>
  <c r="Z211" i="3"/>
  <c r="Y211" i="3"/>
  <c r="X211" i="3"/>
  <c r="W211" i="3"/>
  <c r="V211" i="3"/>
  <c r="U211" i="3"/>
  <c r="T211" i="3"/>
  <c r="S211" i="3"/>
  <c r="O211" i="3"/>
  <c r="K211" i="3"/>
  <c r="Z210" i="3"/>
  <c r="Y210" i="3"/>
  <c r="T140" i="3" s="1"/>
  <c r="X210" i="3"/>
  <c r="W210" i="3"/>
  <c r="V210" i="3"/>
  <c r="U210" i="3"/>
  <c r="T210" i="3"/>
  <c r="S210" i="3"/>
  <c r="O210" i="3"/>
  <c r="K210" i="3"/>
  <c r="Z209" i="3"/>
  <c r="Y209" i="3"/>
  <c r="X209" i="3"/>
  <c r="W209" i="3"/>
  <c r="V209" i="3"/>
  <c r="U209" i="3"/>
  <c r="T209" i="3"/>
  <c r="S209" i="3"/>
  <c r="O209" i="3"/>
  <c r="K209" i="3"/>
  <c r="Z208" i="3"/>
  <c r="T141" i="3" s="1"/>
  <c r="Y208" i="3"/>
  <c r="X208" i="3"/>
  <c r="W208" i="3"/>
  <c r="V208" i="3"/>
  <c r="U208" i="3"/>
  <c r="T136" i="3" s="1"/>
  <c r="T208" i="3"/>
  <c r="S208" i="3"/>
  <c r="O208" i="3"/>
  <c r="K208" i="3"/>
  <c r="Z207" i="3"/>
  <c r="Y207" i="3"/>
  <c r="X207" i="3"/>
  <c r="T139" i="3" s="1"/>
  <c r="W207" i="3"/>
  <c r="V207" i="3"/>
  <c r="U207" i="3"/>
  <c r="T207" i="3"/>
  <c r="S207" i="3"/>
  <c r="T134" i="3" s="1"/>
  <c r="O207" i="3"/>
  <c r="K207" i="3"/>
  <c r="A207" i="3"/>
  <c r="Z206" i="3"/>
  <c r="Y206" i="3"/>
  <c r="X206" i="3"/>
  <c r="W206" i="3"/>
  <c r="T138" i="3" s="1"/>
  <c r="V206" i="3"/>
  <c r="U206" i="3"/>
  <c r="T206" i="3"/>
  <c r="S206" i="3"/>
  <c r="O206" i="3"/>
  <c r="K206" i="3"/>
  <c r="Z205" i="3"/>
  <c r="Y205" i="3"/>
  <c r="X205" i="3"/>
  <c r="W205" i="3"/>
  <c r="V205" i="3"/>
  <c r="U205" i="3"/>
  <c r="T205" i="3"/>
  <c r="S205" i="3"/>
  <c r="O205" i="3"/>
  <c r="K205" i="3"/>
  <c r="Z204" i="3"/>
  <c r="Y204" i="3"/>
  <c r="X204" i="3"/>
  <c r="W204" i="3"/>
  <c r="V204" i="3"/>
  <c r="U204" i="3"/>
  <c r="T204" i="3"/>
  <c r="S204" i="3"/>
  <c r="O204" i="3"/>
  <c r="K204" i="3"/>
  <c r="Z203" i="3"/>
  <c r="Y203" i="3"/>
  <c r="X203" i="3"/>
  <c r="W203" i="3"/>
  <c r="V203" i="3"/>
  <c r="U203" i="3"/>
  <c r="T203" i="3"/>
  <c r="S203" i="3"/>
  <c r="O203" i="3"/>
  <c r="K203" i="3"/>
  <c r="Z202" i="3"/>
  <c r="Y202" i="3"/>
  <c r="X202" i="3"/>
  <c r="W202" i="3"/>
  <c r="V202" i="3"/>
  <c r="U202" i="3"/>
  <c r="T202" i="3"/>
  <c r="S202" i="3"/>
  <c r="O202" i="3"/>
  <c r="K202" i="3"/>
  <c r="Z201" i="3"/>
  <c r="Y201" i="3"/>
  <c r="X201" i="3"/>
  <c r="W201" i="3"/>
  <c r="V201" i="3"/>
  <c r="U201" i="3"/>
  <c r="T201" i="3"/>
  <c r="S201" i="3"/>
  <c r="O201" i="3"/>
  <c r="K201" i="3"/>
  <c r="Z200" i="3"/>
  <c r="Y200" i="3"/>
  <c r="X200" i="3"/>
  <c r="W200" i="3"/>
  <c r="V200" i="3"/>
  <c r="U200" i="3"/>
  <c r="T200" i="3"/>
  <c r="S200" i="3"/>
  <c r="O200" i="3"/>
  <c r="K200" i="3"/>
  <c r="Z199" i="3"/>
  <c r="Y199" i="3"/>
  <c r="X199" i="3"/>
  <c r="W199" i="3"/>
  <c r="S138" i="3" s="1"/>
  <c r="V199" i="3"/>
  <c r="U199" i="3"/>
  <c r="T199" i="3"/>
  <c r="S199" i="3"/>
  <c r="O199" i="3"/>
  <c r="K199" i="3"/>
  <c r="Z198" i="3"/>
  <c r="Y198" i="3"/>
  <c r="X198" i="3"/>
  <c r="W198" i="3"/>
  <c r="V198" i="3"/>
  <c r="U198" i="3"/>
  <c r="T198" i="3"/>
  <c r="S198" i="3"/>
  <c r="O198" i="3"/>
  <c r="K198" i="3"/>
  <c r="Z197" i="3"/>
  <c r="Y197" i="3"/>
  <c r="X197" i="3"/>
  <c r="W197" i="3"/>
  <c r="V197" i="3"/>
  <c r="U197" i="3"/>
  <c r="T197" i="3"/>
  <c r="S197" i="3"/>
  <c r="O197" i="3"/>
  <c r="K197" i="3"/>
  <c r="Z196" i="3"/>
  <c r="Y196" i="3"/>
  <c r="X196" i="3"/>
  <c r="W196" i="3"/>
  <c r="V196" i="3"/>
  <c r="U196" i="3"/>
  <c r="T196" i="3"/>
  <c r="S196" i="3"/>
  <c r="O196" i="3"/>
  <c r="K196" i="3"/>
  <c r="C196" i="3"/>
  <c r="B197" i="3" s="1"/>
  <c r="C197" i="3" s="1"/>
  <c r="B198" i="3" s="1"/>
  <c r="C198" i="3" s="1"/>
  <c r="B199" i="3" s="1"/>
  <c r="C199" i="3" s="1"/>
  <c r="B200" i="3" s="1"/>
  <c r="C200" i="3" s="1"/>
  <c r="B201" i="3" s="1"/>
  <c r="C201" i="3" s="1"/>
  <c r="B202" i="3" s="1"/>
  <c r="C202" i="3" s="1"/>
  <c r="B203" i="3" s="1"/>
  <c r="C203" i="3" s="1"/>
  <c r="B204" i="3" s="1"/>
  <c r="C204" i="3" s="1"/>
  <c r="B205" i="3" s="1"/>
  <c r="C205" i="3" s="1"/>
  <c r="B206" i="3" s="1"/>
  <c r="C206" i="3" s="1"/>
  <c r="B196" i="3"/>
  <c r="A196" i="3"/>
  <c r="Z195" i="3"/>
  <c r="Y195" i="3"/>
  <c r="X195" i="3"/>
  <c r="W195" i="3"/>
  <c r="V195" i="3"/>
  <c r="U195" i="3"/>
  <c r="T195" i="3"/>
  <c r="S135" i="3" s="1"/>
  <c r="S195" i="3"/>
  <c r="O195" i="3"/>
  <c r="K195" i="3"/>
  <c r="Z194" i="3"/>
  <c r="Y194" i="3"/>
  <c r="X194" i="3"/>
  <c r="W194" i="3"/>
  <c r="V194" i="3"/>
  <c r="U194" i="3"/>
  <c r="T194" i="3"/>
  <c r="S194" i="3"/>
  <c r="O194" i="3"/>
  <c r="K194" i="3"/>
  <c r="Z193" i="3"/>
  <c r="Y193" i="3"/>
  <c r="X193" i="3"/>
  <c r="W193" i="3"/>
  <c r="V193" i="3"/>
  <c r="U193" i="3"/>
  <c r="T193" i="3"/>
  <c r="S193" i="3"/>
  <c r="O193" i="3"/>
  <c r="K193" i="3"/>
  <c r="Z192" i="3"/>
  <c r="Y192" i="3"/>
  <c r="X192" i="3"/>
  <c r="W192" i="3"/>
  <c r="V192" i="3"/>
  <c r="U192" i="3"/>
  <c r="T192" i="3"/>
  <c r="S192" i="3"/>
  <c r="O192" i="3"/>
  <c r="K192" i="3"/>
  <c r="Z191" i="3"/>
  <c r="Y191" i="3"/>
  <c r="X191" i="3"/>
  <c r="W191" i="3"/>
  <c r="V191" i="3"/>
  <c r="U191" i="3"/>
  <c r="T191" i="3"/>
  <c r="S191" i="3"/>
  <c r="O191" i="3"/>
  <c r="K191" i="3"/>
  <c r="Z190" i="3"/>
  <c r="Y190" i="3"/>
  <c r="X190" i="3"/>
  <c r="W190" i="3"/>
  <c r="V190" i="3"/>
  <c r="U190" i="3"/>
  <c r="T190" i="3"/>
  <c r="S190" i="3"/>
  <c r="O190" i="3"/>
  <c r="K190" i="3"/>
  <c r="Z189" i="3"/>
  <c r="Y189" i="3"/>
  <c r="X189" i="3"/>
  <c r="W189" i="3"/>
  <c r="V189" i="3"/>
  <c r="U189" i="3"/>
  <c r="T189" i="3"/>
  <c r="S189" i="3"/>
  <c r="O189" i="3"/>
  <c r="K189" i="3"/>
  <c r="Z188" i="3"/>
  <c r="Y188" i="3"/>
  <c r="X188" i="3"/>
  <c r="W188" i="3"/>
  <c r="V188" i="3"/>
  <c r="U188" i="3"/>
  <c r="T188" i="3"/>
  <c r="S188" i="3"/>
  <c r="O188" i="3"/>
  <c r="K188" i="3"/>
  <c r="Z187" i="3"/>
  <c r="Y187" i="3"/>
  <c r="X187" i="3"/>
  <c r="W187" i="3"/>
  <c r="V187" i="3"/>
  <c r="U187" i="3"/>
  <c r="T187" i="3"/>
  <c r="S187" i="3"/>
  <c r="O187" i="3"/>
  <c r="K187" i="3"/>
  <c r="Z186" i="3"/>
  <c r="Y186" i="3"/>
  <c r="X186" i="3"/>
  <c r="W186" i="3"/>
  <c r="V186" i="3"/>
  <c r="U186" i="3"/>
  <c r="T186" i="3"/>
  <c r="S186" i="3"/>
  <c r="O186" i="3"/>
  <c r="K186" i="3"/>
  <c r="Z185" i="3"/>
  <c r="Y185" i="3"/>
  <c r="X185" i="3"/>
  <c r="R139" i="3" s="1"/>
  <c r="W185" i="3"/>
  <c r="V185" i="3"/>
  <c r="U185" i="3"/>
  <c r="T185" i="3"/>
  <c r="S185" i="3"/>
  <c r="R134" i="3" s="1"/>
  <c r="O185" i="3"/>
  <c r="K185" i="3"/>
  <c r="B185" i="3"/>
  <c r="C185" i="3" s="1"/>
  <c r="B186" i="3" s="1"/>
  <c r="C186" i="3" s="1"/>
  <c r="B187" i="3" s="1"/>
  <c r="C187" i="3" s="1"/>
  <c r="B188" i="3" s="1"/>
  <c r="C188" i="3" s="1"/>
  <c r="B189" i="3" s="1"/>
  <c r="C189" i="3" s="1"/>
  <c r="B190" i="3" s="1"/>
  <c r="C190" i="3" s="1"/>
  <c r="B191" i="3" s="1"/>
  <c r="C191" i="3" s="1"/>
  <c r="B192" i="3" s="1"/>
  <c r="C192" i="3" s="1"/>
  <c r="B193" i="3" s="1"/>
  <c r="C193" i="3" s="1"/>
  <c r="B194" i="3" s="1"/>
  <c r="C194" i="3" s="1"/>
  <c r="B195" i="3" s="1"/>
  <c r="C195" i="3" s="1"/>
  <c r="A185" i="3"/>
  <c r="Z184" i="3"/>
  <c r="Y184" i="3"/>
  <c r="R140" i="3" s="1"/>
  <c r="X184" i="3"/>
  <c r="W184" i="3"/>
  <c r="R138" i="3" s="1"/>
  <c r="V184" i="3"/>
  <c r="U184" i="3"/>
  <c r="R136" i="3" s="1"/>
  <c r="T184" i="3"/>
  <c r="R135" i="3" s="1"/>
  <c r="S184" i="3"/>
  <c r="O184" i="3"/>
  <c r="K184" i="3"/>
  <c r="Z183" i="3"/>
  <c r="Y183" i="3"/>
  <c r="X183" i="3"/>
  <c r="W183" i="3"/>
  <c r="V183" i="3"/>
  <c r="U183" i="3"/>
  <c r="T183" i="3"/>
  <c r="S183" i="3"/>
  <c r="O183" i="3"/>
  <c r="K183" i="3"/>
  <c r="Z182" i="3"/>
  <c r="Y182" i="3"/>
  <c r="X182" i="3"/>
  <c r="W182" i="3"/>
  <c r="V182" i="3"/>
  <c r="U182" i="3"/>
  <c r="T182" i="3"/>
  <c r="S182" i="3"/>
  <c r="O182" i="3"/>
  <c r="K182" i="3"/>
  <c r="Z181" i="3"/>
  <c r="Y181" i="3"/>
  <c r="X181" i="3"/>
  <c r="W181" i="3"/>
  <c r="V181" i="3"/>
  <c r="U181" i="3"/>
  <c r="T181" i="3"/>
  <c r="S181" i="3"/>
  <c r="O181" i="3"/>
  <c r="K181" i="3"/>
  <c r="Z180" i="3"/>
  <c r="Y180" i="3"/>
  <c r="X180" i="3"/>
  <c r="W180" i="3"/>
  <c r="V180" i="3"/>
  <c r="U180" i="3"/>
  <c r="T180" i="3"/>
  <c r="S180" i="3"/>
  <c r="O180" i="3"/>
  <c r="K180" i="3"/>
  <c r="Z179" i="3"/>
  <c r="Y179" i="3"/>
  <c r="X179" i="3"/>
  <c r="W179" i="3"/>
  <c r="V179" i="3"/>
  <c r="U179" i="3"/>
  <c r="T179" i="3"/>
  <c r="S179" i="3"/>
  <c r="O179" i="3"/>
  <c r="K179" i="3"/>
  <c r="Z178" i="3"/>
  <c r="Y178" i="3"/>
  <c r="X178" i="3"/>
  <c r="W178" i="3"/>
  <c r="V178" i="3"/>
  <c r="U178" i="3"/>
  <c r="T178" i="3"/>
  <c r="S178" i="3"/>
  <c r="O178" i="3"/>
  <c r="K178" i="3"/>
  <c r="Z177" i="3"/>
  <c r="Y177" i="3"/>
  <c r="X177" i="3"/>
  <c r="W177" i="3"/>
  <c r="V177" i="3"/>
  <c r="U177" i="3"/>
  <c r="T177" i="3"/>
  <c r="S177" i="3"/>
  <c r="O177" i="3"/>
  <c r="K177" i="3"/>
  <c r="Z176" i="3"/>
  <c r="Y176" i="3"/>
  <c r="X176" i="3"/>
  <c r="W176" i="3"/>
  <c r="V176" i="3"/>
  <c r="U176" i="3"/>
  <c r="T176" i="3"/>
  <c r="S176" i="3"/>
  <c r="O176" i="3"/>
  <c r="K176" i="3"/>
  <c r="Z175" i="3"/>
  <c r="Y175" i="3"/>
  <c r="X175" i="3"/>
  <c r="W175" i="3"/>
  <c r="V175" i="3"/>
  <c r="U175" i="3"/>
  <c r="T175" i="3"/>
  <c r="S175" i="3"/>
  <c r="O175" i="3"/>
  <c r="K175" i="3"/>
  <c r="Z174" i="3"/>
  <c r="Y174" i="3"/>
  <c r="X174" i="3"/>
  <c r="W174" i="3"/>
  <c r="V174" i="3"/>
  <c r="U174" i="3"/>
  <c r="T174" i="3"/>
  <c r="S174" i="3"/>
  <c r="Q134" i="3" s="1"/>
  <c r="O174" i="3"/>
  <c r="K174" i="3"/>
  <c r="B174" i="3"/>
  <c r="C174" i="3" s="1"/>
  <c r="B175" i="3" s="1"/>
  <c r="C175" i="3" s="1"/>
  <c r="B176" i="3" s="1"/>
  <c r="C176" i="3" s="1"/>
  <c r="B177" i="3" s="1"/>
  <c r="C177" i="3" s="1"/>
  <c r="B178" i="3" s="1"/>
  <c r="C178" i="3" s="1"/>
  <c r="B179" i="3" s="1"/>
  <c r="C179" i="3" s="1"/>
  <c r="B180" i="3" s="1"/>
  <c r="C180" i="3" s="1"/>
  <c r="B181" i="3" s="1"/>
  <c r="C181" i="3" s="1"/>
  <c r="B182" i="3" s="1"/>
  <c r="C182" i="3" s="1"/>
  <c r="B183" i="3" s="1"/>
  <c r="C183" i="3" s="1"/>
  <c r="B184" i="3" s="1"/>
  <c r="C184" i="3" s="1"/>
  <c r="A174" i="3"/>
  <c r="Z173" i="3"/>
  <c r="Q141" i="3" s="1"/>
  <c r="Y173" i="3"/>
  <c r="X173" i="3"/>
  <c r="Q139" i="3" s="1"/>
  <c r="W173" i="3"/>
  <c r="Q138" i="3" s="1"/>
  <c r="V173" i="3"/>
  <c r="Q137" i="3" s="1"/>
  <c r="U173" i="3"/>
  <c r="T173" i="3"/>
  <c r="S173" i="3"/>
  <c r="O173" i="3"/>
  <c r="K173" i="3"/>
  <c r="Z172" i="3"/>
  <c r="Y172" i="3"/>
  <c r="X172" i="3"/>
  <c r="W172" i="3"/>
  <c r="V172" i="3"/>
  <c r="U172" i="3"/>
  <c r="T172" i="3"/>
  <c r="S172" i="3"/>
  <c r="O172" i="3"/>
  <c r="K172" i="3"/>
  <c r="Z171" i="3"/>
  <c r="Y171" i="3"/>
  <c r="X171" i="3"/>
  <c r="W171" i="3"/>
  <c r="V171" i="3"/>
  <c r="U171" i="3"/>
  <c r="T171" i="3"/>
  <c r="S171" i="3"/>
  <c r="O171" i="3"/>
  <c r="K171" i="3"/>
  <c r="Z170" i="3"/>
  <c r="Y170" i="3"/>
  <c r="X170" i="3"/>
  <c r="W170" i="3"/>
  <c r="V170" i="3"/>
  <c r="U170" i="3"/>
  <c r="T170" i="3"/>
  <c r="S170" i="3"/>
  <c r="O170" i="3"/>
  <c r="K170" i="3"/>
  <c r="Z169" i="3"/>
  <c r="Y169" i="3"/>
  <c r="X169" i="3"/>
  <c r="W169" i="3"/>
  <c r="V169" i="3"/>
  <c r="U169" i="3"/>
  <c r="T169" i="3"/>
  <c r="S169" i="3"/>
  <c r="O169" i="3"/>
  <c r="K169" i="3"/>
  <c r="Z168" i="3"/>
  <c r="Y168" i="3"/>
  <c r="X168" i="3"/>
  <c r="W168" i="3"/>
  <c r="V168" i="3"/>
  <c r="U168" i="3"/>
  <c r="T168" i="3"/>
  <c r="S168" i="3"/>
  <c r="O168" i="3"/>
  <c r="K168" i="3"/>
  <c r="Z167" i="3"/>
  <c r="Y167" i="3"/>
  <c r="X167" i="3"/>
  <c r="W167" i="3"/>
  <c r="V167" i="3"/>
  <c r="U167" i="3"/>
  <c r="T167" i="3"/>
  <c r="S167" i="3"/>
  <c r="O167" i="3"/>
  <c r="K167" i="3"/>
  <c r="Z166" i="3"/>
  <c r="Y166" i="3"/>
  <c r="X166" i="3"/>
  <c r="W166" i="3"/>
  <c r="V166" i="3"/>
  <c r="U166" i="3"/>
  <c r="T166" i="3"/>
  <c r="S166" i="3"/>
  <c r="O166" i="3"/>
  <c r="K166" i="3"/>
  <c r="Z165" i="3"/>
  <c r="Y165" i="3"/>
  <c r="X165" i="3"/>
  <c r="W165" i="3"/>
  <c r="V165" i="3"/>
  <c r="U165" i="3"/>
  <c r="T165" i="3"/>
  <c r="S165" i="3"/>
  <c r="O165" i="3"/>
  <c r="K165" i="3"/>
  <c r="Z164" i="3"/>
  <c r="Y164" i="3"/>
  <c r="X164" i="3"/>
  <c r="W164" i="3"/>
  <c r="V164" i="3"/>
  <c r="U164" i="3"/>
  <c r="T164" i="3"/>
  <c r="S164" i="3"/>
  <c r="O164" i="3"/>
  <c r="K164" i="3"/>
  <c r="Z163" i="3"/>
  <c r="Y163" i="3"/>
  <c r="X163" i="3"/>
  <c r="W163" i="3"/>
  <c r="V163" i="3"/>
  <c r="U163" i="3"/>
  <c r="T163" i="3"/>
  <c r="S163" i="3"/>
  <c r="O163" i="3"/>
  <c r="K163" i="3"/>
  <c r="Z162" i="3"/>
  <c r="Y162" i="3"/>
  <c r="Y229" i="3" s="1"/>
  <c r="X162" i="3"/>
  <c r="W162" i="3"/>
  <c r="V162" i="3"/>
  <c r="U162" i="3"/>
  <c r="T162" i="3"/>
  <c r="S162" i="3"/>
  <c r="O162" i="3"/>
  <c r="K162" i="3"/>
  <c r="B162" i="3"/>
  <c r="C162" i="3" s="1"/>
  <c r="B163" i="3" s="1"/>
  <c r="C163" i="3" s="1"/>
  <c r="B164" i="3" s="1"/>
  <c r="C164" i="3" s="1"/>
  <c r="B165" i="3" s="1"/>
  <c r="C165" i="3" s="1"/>
  <c r="B166" i="3" s="1"/>
  <c r="C166" i="3" s="1"/>
  <c r="B167" i="3" s="1"/>
  <c r="C167" i="3" s="1"/>
  <c r="B168" i="3" s="1"/>
  <c r="C168" i="3" s="1"/>
  <c r="B169" i="3" s="1"/>
  <c r="C169" i="3" s="1"/>
  <c r="B170" i="3" s="1"/>
  <c r="C170" i="3" s="1"/>
  <c r="B171" i="3" s="1"/>
  <c r="C171" i="3" s="1"/>
  <c r="B172" i="3" s="1"/>
  <c r="C172" i="3" s="1"/>
  <c r="B173" i="3" s="1"/>
  <c r="C173" i="3" s="1"/>
  <c r="A162" i="3"/>
  <c r="L158" i="3"/>
  <c r="K157" i="3"/>
  <c r="K156" i="3"/>
  <c r="K155" i="3"/>
  <c r="K154" i="3"/>
  <c r="K153" i="3"/>
  <c r="K152" i="3"/>
  <c r="K146" i="3"/>
  <c r="G146" i="3" s="1"/>
  <c r="F146" i="3"/>
  <c r="D146" i="3"/>
  <c r="A146" i="3"/>
  <c r="K144" i="3"/>
  <c r="G144" i="3"/>
  <c r="F144" i="3"/>
  <c r="D144" i="3"/>
  <c r="A144" i="3"/>
  <c r="K142" i="3"/>
  <c r="L142" i="3" s="1"/>
  <c r="F142" i="3"/>
  <c r="D142" i="3"/>
  <c r="A142" i="3"/>
  <c r="S141" i="3"/>
  <c r="R141" i="3"/>
  <c r="S140" i="3"/>
  <c r="P140" i="3"/>
  <c r="K140" i="3"/>
  <c r="F140" i="3"/>
  <c r="D140" i="3"/>
  <c r="A140" i="3"/>
  <c r="S139" i="3"/>
  <c r="P139" i="3"/>
  <c r="P138" i="3"/>
  <c r="K138" i="3"/>
  <c r="F138" i="3"/>
  <c r="D138" i="3"/>
  <c r="A138" i="3"/>
  <c r="S137" i="3"/>
  <c r="R137" i="3"/>
  <c r="S136" i="3"/>
  <c r="K136" i="3"/>
  <c r="F136" i="3"/>
  <c r="D136" i="3"/>
  <c r="A136" i="3"/>
  <c r="P135" i="3"/>
  <c r="Z113" i="3"/>
  <c r="Y113" i="3"/>
  <c r="X113" i="3"/>
  <c r="W113" i="3"/>
  <c r="V113" i="3"/>
  <c r="U113" i="3"/>
  <c r="T113" i="3"/>
  <c r="S113" i="3"/>
  <c r="O113" i="3"/>
  <c r="K113" i="3"/>
  <c r="Z112" i="3"/>
  <c r="Y112" i="3"/>
  <c r="X112" i="3"/>
  <c r="W112" i="3"/>
  <c r="V112" i="3"/>
  <c r="U112" i="3"/>
  <c r="T112" i="3"/>
  <c r="S112" i="3"/>
  <c r="O112" i="3"/>
  <c r="K112" i="3"/>
  <c r="Z111" i="3"/>
  <c r="Y111" i="3"/>
  <c r="X111" i="3"/>
  <c r="W111" i="3"/>
  <c r="V111" i="3"/>
  <c r="U111" i="3"/>
  <c r="T111" i="3"/>
  <c r="S111" i="3"/>
  <c r="O111" i="3"/>
  <c r="K111" i="3"/>
  <c r="Z110" i="3"/>
  <c r="Y110" i="3"/>
  <c r="X110" i="3"/>
  <c r="W110" i="3"/>
  <c r="V110" i="3"/>
  <c r="U110" i="3"/>
  <c r="T110" i="3"/>
  <c r="S110" i="3"/>
  <c r="O110" i="3"/>
  <c r="K110" i="3"/>
  <c r="Z109" i="3"/>
  <c r="Y109" i="3"/>
  <c r="X109" i="3"/>
  <c r="W109" i="3"/>
  <c r="V109" i="3"/>
  <c r="U109" i="3"/>
  <c r="T109" i="3"/>
  <c r="S109" i="3"/>
  <c r="O109" i="3"/>
  <c r="K109" i="3"/>
  <c r="Z108" i="3"/>
  <c r="Y108" i="3"/>
  <c r="X108" i="3"/>
  <c r="W108" i="3"/>
  <c r="V108" i="3"/>
  <c r="U108" i="3"/>
  <c r="T108" i="3"/>
  <c r="S108" i="3"/>
  <c r="O108" i="3"/>
  <c r="K108" i="3"/>
  <c r="Z107" i="3"/>
  <c r="Y107" i="3"/>
  <c r="X107" i="3"/>
  <c r="W107" i="3"/>
  <c r="V107" i="3"/>
  <c r="U107" i="3"/>
  <c r="T107" i="3"/>
  <c r="S107" i="3"/>
  <c r="O107" i="3"/>
  <c r="K107" i="3"/>
  <c r="Z106" i="3"/>
  <c r="Y106" i="3"/>
  <c r="X106" i="3"/>
  <c r="W106" i="3"/>
  <c r="V106" i="3"/>
  <c r="U106" i="3"/>
  <c r="T106" i="3"/>
  <c r="S106" i="3"/>
  <c r="O106" i="3"/>
  <c r="K106" i="3"/>
  <c r="Z105" i="3"/>
  <c r="Y105" i="3"/>
  <c r="X105" i="3"/>
  <c r="W105" i="3"/>
  <c r="V105" i="3"/>
  <c r="U105" i="3"/>
  <c r="T105" i="3"/>
  <c r="S105" i="3"/>
  <c r="O105" i="3"/>
  <c r="K105" i="3"/>
  <c r="Z104" i="3"/>
  <c r="Y104" i="3"/>
  <c r="X104" i="3"/>
  <c r="W104" i="3"/>
  <c r="V104" i="3"/>
  <c r="U104" i="3"/>
  <c r="U21" i="3" s="1"/>
  <c r="T104" i="3"/>
  <c r="S104" i="3"/>
  <c r="O104" i="3"/>
  <c r="K104" i="3"/>
  <c r="Z103" i="3"/>
  <c r="Y103" i="3"/>
  <c r="X103" i="3"/>
  <c r="W103" i="3"/>
  <c r="V103" i="3"/>
  <c r="U103" i="3"/>
  <c r="T103" i="3"/>
  <c r="S103" i="3"/>
  <c r="U19" i="3" s="1"/>
  <c r="O103" i="3"/>
  <c r="K103" i="3"/>
  <c r="A103" i="3"/>
  <c r="Z102" i="3"/>
  <c r="Y102" i="3"/>
  <c r="X102" i="3"/>
  <c r="W102" i="3"/>
  <c r="V102" i="3"/>
  <c r="U102" i="3"/>
  <c r="T102" i="3"/>
  <c r="S102" i="3"/>
  <c r="O102" i="3"/>
  <c r="K102" i="3"/>
  <c r="Z101" i="3"/>
  <c r="Y101" i="3"/>
  <c r="X101" i="3"/>
  <c r="W101" i="3"/>
  <c r="V101" i="3"/>
  <c r="U101" i="3"/>
  <c r="T101" i="3"/>
  <c r="S101" i="3"/>
  <c r="O101" i="3"/>
  <c r="K101" i="3"/>
  <c r="Z100" i="3"/>
  <c r="Y100" i="3"/>
  <c r="X100" i="3"/>
  <c r="W100" i="3"/>
  <c r="V100" i="3"/>
  <c r="U100" i="3"/>
  <c r="T100" i="3"/>
  <c r="S100" i="3"/>
  <c r="O100" i="3"/>
  <c r="K100" i="3"/>
  <c r="Z99" i="3"/>
  <c r="Y99" i="3"/>
  <c r="X99" i="3"/>
  <c r="W99" i="3"/>
  <c r="V99" i="3"/>
  <c r="U99" i="3"/>
  <c r="T99" i="3"/>
  <c r="S99" i="3"/>
  <c r="O99" i="3"/>
  <c r="K99" i="3"/>
  <c r="Z98" i="3"/>
  <c r="Y98" i="3"/>
  <c r="X98" i="3"/>
  <c r="W98" i="3"/>
  <c r="V98" i="3"/>
  <c r="U98" i="3"/>
  <c r="T98" i="3"/>
  <c r="S98" i="3"/>
  <c r="O98" i="3"/>
  <c r="K98" i="3"/>
  <c r="Z97" i="3"/>
  <c r="Y97" i="3"/>
  <c r="X97" i="3"/>
  <c r="W97" i="3"/>
  <c r="V97" i="3"/>
  <c r="U97" i="3"/>
  <c r="T97" i="3"/>
  <c r="S97" i="3"/>
  <c r="O97" i="3"/>
  <c r="K97" i="3"/>
  <c r="Z96" i="3"/>
  <c r="Z114" i="3" s="1"/>
  <c r="Y96" i="3"/>
  <c r="X96" i="3"/>
  <c r="W96" i="3"/>
  <c r="V96" i="3"/>
  <c r="U96" i="3"/>
  <c r="T96" i="3"/>
  <c r="S96" i="3"/>
  <c r="O96" i="3"/>
  <c r="K96" i="3"/>
  <c r="Z95" i="3"/>
  <c r="Y95" i="3"/>
  <c r="X95" i="3"/>
  <c r="T24" i="3" s="1"/>
  <c r="W95" i="3"/>
  <c r="V95" i="3"/>
  <c r="U95" i="3"/>
  <c r="T95" i="3"/>
  <c r="S95" i="3"/>
  <c r="O95" i="3"/>
  <c r="K95" i="3"/>
  <c r="Z94" i="3"/>
  <c r="Y94" i="3"/>
  <c r="Y114" i="3" s="1"/>
  <c r="X94" i="3"/>
  <c r="W94" i="3"/>
  <c r="V94" i="3"/>
  <c r="T22" i="3" s="1"/>
  <c r="U94" i="3"/>
  <c r="T94" i="3"/>
  <c r="S94" i="3"/>
  <c r="O94" i="3"/>
  <c r="K94" i="3"/>
  <c r="Z93" i="3"/>
  <c r="Y93" i="3"/>
  <c r="X93" i="3"/>
  <c r="W93" i="3"/>
  <c r="T23" i="3" s="1"/>
  <c r="V93" i="3"/>
  <c r="U93" i="3"/>
  <c r="T93" i="3"/>
  <c r="S93" i="3"/>
  <c r="O93" i="3"/>
  <c r="K93" i="3"/>
  <c r="Z92" i="3"/>
  <c r="Y92" i="3"/>
  <c r="X92" i="3"/>
  <c r="W92" i="3"/>
  <c r="V92" i="3"/>
  <c r="U92" i="3"/>
  <c r="T92" i="3"/>
  <c r="S92" i="3"/>
  <c r="O92" i="3"/>
  <c r="K92" i="3"/>
  <c r="A92" i="3"/>
  <c r="Z91" i="3"/>
  <c r="Y91" i="3"/>
  <c r="X91" i="3"/>
  <c r="W91" i="3"/>
  <c r="V91" i="3"/>
  <c r="U91" i="3"/>
  <c r="T91" i="3"/>
  <c r="T20" i="3" s="1"/>
  <c r="S91" i="3"/>
  <c r="O91" i="3"/>
  <c r="K91" i="3"/>
  <c r="Z90" i="3"/>
  <c r="Y90" i="3"/>
  <c r="X90" i="3"/>
  <c r="W90" i="3"/>
  <c r="V90" i="3"/>
  <c r="U90" i="3"/>
  <c r="T90" i="3"/>
  <c r="S90" i="3"/>
  <c r="O90" i="3"/>
  <c r="K90" i="3"/>
  <c r="Z89" i="3"/>
  <c r="Y89" i="3"/>
  <c r="X89" i="3"/>
  <c r="W89" i="3"/>
  <c r="V89" i="3"/>
  <c r="U89" i="3"/>
  <c r="T89" i="3"/>
  <c r="S89" i="3"/>
  <c r="O89" i="3"/>
  <c r="K89" i="3"/>
  <c r="Z88" i="3"/>
  <c r="Y88" i="3"/>
  <c r="X88" i="3"/>
  <c r="W88" i="3"/>
  <c r="V88" i="3"/>
  <c r="U88" i="3"/>
  <c r="T88" i="3"/>
  <c r="S88" i="3"/>
  <c r="O88" i="3"/>
  <c r="K88" i="3"/>
  <c r="Z87" i="3"/>
  <c r="Y87" i="3"/>
  <c r="X87" i="3"/>
  <c r="W87" i="3"/>
  <c r="V87" i="3"/>
  <c r="U87" i="3"/>
  <c r="T87" i="3"/>
  <c r="S87" i="3"/>
  <c r="O87" i="3"/>
  <c r="K87" i="3"/>
  <c r="Z86" i="3"/>
  <c r="Y86" i="3"/>
  <c r="X86" i="3"/>
  <c r="W86" i="3"/>
  <c r="V86" i="3"/>
  <c r="U86" i="3"/>
  <c r="T86" i="3"/>
  <c r="S86" i="3"/>
  <c r="O86" i="3"/>
  <c r="K86" i="3"/>
  <c r="Z85" i="3"/>
  <c r="Y85" i="3"/>
  <c r="X85" i="3"/>
  <c r="W85" i="3"/>
  <c r="V85" i="3"/>
  <c r="U85" i="3"/>
  <c r="T85" i="3"/>
  <c r="S85" i="3"/>
  <c r="O85" i="3"/>
  <c r="K85" i="3"/>
  <c r="Z84" i="3"/>
  <c r="Y84" i="3"/>
  <c r="X84" i="3"/>
  <c r="W84" i="3"/>
  <c r="V84" i="3"/>
  <c r="U84" i="3"/>
  <c r="T84" i="3"/>
  <c r="S84" i="3"/>
  <c r="O84" i="3"/>
  <c r="K84" i="3"/>
  <c r="Z83" i="3"/>
  <c r="Y83" i="3"/>
  <c r="X83" i="3"/>
  <c r="W83" i="3"/>
  <c r="V83" i="3"/>
  <c r="U83" i="3"/>
  <c r="T83" i="3"/>
  <c r="S83" i="3"/>
  <c r="O83" i="3"/>
  <c r="K83" i="3"/>
  <c r="Z82" i="3"/>
  <c r="Y82" i="3"/>
  <c r="X82" i="3"/>
  <c r="W82" i="3"/>
  <c r="V82" i="3"/>
  <c r="U82" i="3"/>
  <c r="T82" i="3"/>
  <c r="S82" i="3"/>
  <c r="O82" i="3"/>
  <c r="K82" i="3"/>
  <c r="Z81" i="3"/>
  <c r="Y81" i="3"/>
  <c r="X81" i="3"/>
  <c r="W81" i="3"/>
  <c r="V81" i="3"/>
  <c r="U81" i="3"/>
  <c r="T81" i="3"/>
  <c r="S20" i="3" s="1"/>
  <c r="S27" i="3" s="1"/>
  <c r="S81" i="3"/>
  <c r="O81" i="3"/>
  <c r="K81" i="3"/>
  <c r="B81" i="3"/>
  <c r="C81" i="3" s="1"/>
  <c r="B82" i="3" s="1"/>
  <c r="C82" i="3" s="1"/>
  <c r="B83" i="3" s="1"/>
  <c r="C83" i="3" s="1"/>
  <c r="B84" i="3" s="1"/>
  <c r="C84" i="3" s="1"/>
  <c r="B85" i="3" s="1"/>
  <c r="C85" i="3" s="1"/>
  <c r="B86" i="3" s="1"/>
  <c r="C86" i="3" s="1"/>
  <c r="B87" i="3" s="1"/>
  <c r="C87" i="3" s="1"/>
  <c r="B88" i="3" s="1"/>
  <c r="C88" i="3" s="1"/>
  <c r="B89" i="3" s="1"/>
  <c r="C89" i="3" s="1"/>
  <c r="B90" i="3" s="1"/>
  <c r="C90" i="3" s="1"/>
  <c r="B91" i="3" s="1"/>
  <c r="C91" i="3" s="1"/>
  <c r="A81" i="3"/>
  <c r="Z80" i="3"/>
  <c r="Y80" i="3"/>
  <c r="X80" i="3"/>
  <c r="W80" i="3"/>
  <c r="V80" i="3"/>
  <c r="U80" i="3"/>
  <c r="S21" i="3" s="1"/>
  <c r="T80" i="3"/>
  <c r="S80" i="3"/>
  <c r="O80" i="3"/>
  <c r="K80" i="3"/>
  <c r="Z79" i="3"/>
  <c r="Y79" i="3"/>
  <c r="X79" i="3"/>
  <c r="W79" i="3"/>
  <c r="V79" i="3"/>
  <c r="U79" i="3"/>
  <c r="T79" i="3"/>
  <c r="S79" i="3"/>
  <c r="O79" i="3"/>
  <c r="K79" i="3"/>
  <c r="Z78" i="3"/>
  <c r="Y78" i="3"/>
  <c r="X78" i="3"/>
  <c r="W78" i="3"/>
  <c r="V78" i="3"/>
  <c r="U78" i="3"/>
  <c r="T78" i="3"/>
  <c r="S78" i="3"/>
  <c r="O78" i="3"/>
  <c r="K78" i="3"/>
  <c r="Z77" i="3"/>
  <c r="Y77" i="3"/>
  <c r="X77" i="3"/>
  <c r="W77" i="3"/>
  <c r="V77" i="3"/>
  <c r="U77" i="3"/>
  <c r="T77" i="3"/>
  <c r="S77" i="3"/>
  <c r="O77" i="3"/>
  <c r="K77" i="3"/>
  <c r="Z76" i="3"/>
  <c r="Y76" i="3"/>
  <c r="X76" i="3"/>
  <c r="W76" i="3"/>
  <c r="V76" i="3"/>
  <c r="U76" i="3"/>
  <c r="T76" i="3"/>
  <c r="S76" i="3"/>
  <c r="O76" i="3"/>
  <c r="K76" i="3"/>
  <c r="Z75" i="3"/>
  <c r="Y75" i="3"/>
  <c r="X75" i="3"/>
  <c r="W75" i="3"/>
  <c r="V75" i="3"/>
  <c r="U75" i="3"/>
  <c r="T75" i="3"/>
  <c r="S75" i="3"/>
  <c r="O75" i="3"/>
  <c r="K75" i="3"/>
  <c r="C75" i="3"/>
  <c r="B76" i="3" s="1"/>
  <c r="C76" i="3" s="1"/>
  <c r="B77" i="3" s="1"/>
  <c r="C77" i="3" s="1"/>
  <c r="B78" i="3" s="1"/>
  <c r="C78" i="3" s="1"/>
  <c r="B79" i="3" s="1"/>
  <c r="C79" i="3" s="1"/>
  <c r="B80" i="3" s="1"/>
  <c r="C80" i="3" s="1"/>
  <c r="Z74" i="3"/>
  <c r="Y74" i="3"/>
  <c r="X74" i="3"/>
  <c r="W74" i="3"/>
  <c r="V74" i="3"/>
  <c r="U74" i="3"/>
  <c r="T74" i="3"/>
  <c r="S74" i="3"/>
  <c r="O74" i="3"/>
  <c r="K74" i="3"/>
  <c r="C74" i="3"/>
  <c r="B75" i="3" s="1"/>
  <c r="Z73" i="3"/>
  <c r="Y73" i="3"/>
  <c r="X73" i="3"/>
  <c r="W73" i="3"/>
  <c r="V73" i="3"/>
  <c r="U73" i="3"/>
  <c r="T73" i="3"/>
  <c r="S73" i="3"/>
  <c r="O73" i="3"/>
  <c r="K73" i="3"/>
  <c r="C73" i="3"/>
  <c r="B74" i="3" s="1"/>
  <c r="Z72" i="3"/>
  <c r="Y72" i="3"/>
  <c r="X72" i="3"/>
  <c r="W72" i="3"/>
  <c r="V72" i="3"/>
  <c r="U72" i="3"/>
  <c r="T72" i="3"/>
  <c r="S72" i="3"/>
  <c r="O72" i="3"/>
  <c r="K72" i="3"/>
  <c r="C72" i="3"/>
  <c r="B73" i="3" s="1"/>
  <c r="Z71" i="3"/>
  <c r="Y71" i="3"/>
  <c r="X71" i="3"/>
  <c r="W71" i="3"/>
  <c r="V71" i="3"/>
  <c r="U71" i="3"/>
  <c r="T71" i="3"/>
  <c r="S71" i="3"/>
  <c r="O71" i="3"/>
  <c r="K71" i="3"/>
  <c r="C71" i="3"/>
  <c r="B72" i="3" s="1"/>
  <c r="Z70" i="3"/>
  <c r="Y70" i="3"/>
  <c r="X70" i="3"/>
  <c r="W70" i="3"/>
  <c r="V70" i="3"/>
  <c r="U70" i="3"/>
  <c r="T70" i="3"/>
  <c r="S70" i="3"/>
  <c r="O70" i="3"/>
  <c r="K70" i="3"/>
  <c r="C70" i="3"/>
  <c r="B71" i="3" s="1"/>
  <c r="B70" i="3"/>
  <c r="A70" i="3"/>
  <c r="Z69" i="3"/>
  <c r="Y69" i="3"/>
  <c r="R25" i="3" s="1"/>
  <c r="X69" i="3"/>
  <c r="W69" i="3"/>
  <c r="R23" i="3" s="1"/>
  <c r="V69" i="3"/>
  <c r="U69" i="3"/>
  <c r="T69" i="3"/>
  <c r="S69" i="3"/>
  <c r="O69" i="3"/>
  <c r="K69" i="3"/>
  <c r="Z68" i="3"/>
  <c r="Y68" i="3"/>
  <c r="X68" i="3"/>
  <c r="W68" i="3"/>
  <c r="V68" i="3"/>
  <c r="U68" i="3"/>
  <c r="T68" i="3"/>
  <c r="S68" i="3"/>
  <c r="O68" i="3"/>
  <c r="K68" i="3"/>
  <c r="Z67" i="3"/>
  <c r="Y67" i="3"/>
  <c r="X67" i="3"/>
  <c r="W67" i="3"/>
  <c r="V67" i="3"/>
  <c r="U67" i="3"/>
  <c r="T67" i="3"/>
  <c r="S67" i="3"/>
  <c r="O67" i="3"/>
  <c r="K67" i="3"/>
  <c r="Z66" i="3"/>
  <c r="Y66" i="3"/>
  <c r="X66" i="3"/>
  <c r="W66" i="3"/>
  <c r="V66" i="3"/>
  <c r="U66" i="3"/>
  <c r="T66" i="3"/>
  <c r="S66" i="3"/>
  <c r="O66" i="3"/>
  <c r="K66" i="3"/>
  <c r="Z65" i="3"/>
  <c r="Y65" i="3"/>
  <c r="X65" i="3"/>
  <c r="W65" i="3"/>
  <c r="V65" i="3"/>
  <c r="U65" i="3"/>
  <c r="T65" i="3"/>
  <c r="S65" i="3"/>
  <c r="O65" i="3"/>
  <c r="K65" i="3"/>
  <c r="Z64" i="3"/>
  <c r="Y64" i="3"/>
  <c r="X64" i="3"/>
  <c r="W64" i="3"/>
  <c r="V64" i="3"/>
  <c r="U64" i="3"/>
  <c r="T64" i="3"/>
  <c r="S64" i="3"/>
  <c r="O64" i="3"/>
  <c r="K64" i="3"/>
  <c r="Z63" i="3"/>
  <c r="Y63" i="3"/>
  <c r="X63" i="3"/>
  <c r="W63" i="3"/>
  <c r="V63" i="3"/>
  <c r="U63" i="3"/>
  <c r="S63" i="3"/>
  <c r="O63" i="3"/>
  <c r="K63" i="3"/>
  <c r="T63" i="3" s="1"/>
  <c r="Z62" i="3"/>
  <c r="Y62" i="3"/>
  <c r="X62" i="3"/>
  <c r="W62" i="3"/>
  <c r="V62" i="3"/>
  <c r="U62" i="3"/>
  <c r="T62" i="3"/>
  <c r="S62" i="3"/>
  <c r="O62" i="3"/>
  <c r="K62" i="3"/>
  <c r="Z61" i="3"/>
  <c r="Y61" i="3"/>
  <c r="X61" i="3"/>
  <c r="W61" i="3"/>
  <c r="V61" i="3"/>
  <c r="U61" i="3"/>
  <c r="T61" i="3"/>
  <c r="S61" i="3"/>
  <c r="O61" i="3"/>
  <c r="K61" i="3"/>
  <c r="Z60" i="3"/>
  <c r="Y60" i="3"/>
  <c r="X60" i="3"/>
  <c r="W60" i="3"/>
  <c r="V60" i="3"/>
  <c r="U60" i="3"/>
  <c r="T60" i="3"/>
  <c r="O60" i="3"/>
  <c r="K60" i="3"/>
  <c r="S60" i="3" s="1"/>
  <c r="Q19" i="3" s="1"/>
  <c r="Y59" i="3"/>
  <c r="X59" i="3"/>
  <c r="W59" i="3"/>
  <c r="V59" i="3"/>
  <c r="U59" i="3"/>
  <c r="T59" i="3"/>
  <c r="S59" i="3"/>
  <c r="O59" i="3"/>
  <c r="K59" i="3"/>
  <c r="Z59" i="3" s="1"/>
  <c r="Q26" i="3" s="1"/>
  <c r="B59" i="3"/>
  <c r="C59" i="3" s="1"/>
  <c r="B60" i="3" s="1"/>
  <c r="C60" i="3" s="1"/>
  <c r="B61" i="3" s="1"/>
  <c r="C61" i="3" s="1"/>
  <c r="B62" i="3" s="1"/>
  <c r="C62" i="3" s="1"/>
  <c r="B63" i="3" s="1"/>
  <c r="C63" i="3" s="1"/>
  <c r="B64" i="3" s="1"/>
  <c r="C64" i="3" s="1"/>
  <c r="B65" i="3" s="1"/>
  <c r="C65" i="3" s="1"/>
  <c r="B66" i="3" s="1"/>
  <c r="C66" i="3" s="1"/>
  <c r="B67" i="3" s="1"/>
  <c r="C67" i="3" s="1"/>
  <c r="B68" i="3" s="1"/>
  <c r="C68" i="3" s="1"/>
  <c r="B69" i="3" s="1"/>
  <c r="C69" i="3" s="1"/>
  <c r="A59" i="3"/>
  <c r="Z58" i="3"/>
  <c r="Y58" i="3"/>
  <c r="X58" i="3"/>
  <c r="Q24" i="3" s="1"/>
  <c r="W58" i="3"/>
  <c r="Q23" i="3" s="1"/>
  <c r="V58" i="3"/>
  <c r="U58" i="3"/>
  <c r="T58" i="3"/>
  <c r="S58" i="3"/>
  <c r="O58" i="3"/>
  <c r="K58" i="3"/>
  <c r="Z57" i="3"/>
  <c r="Y57" i="3"/>
  <c r="X57" i="3"/>
  <c r="W57" i="3"/>
  <c r="V57" i="3"/>
  <c r="U57" i="3"/>
  <c r="T57" i="3"/>
  <c r="S57" i="3"/>
  <c r="Z56" i="3"/>
  <c r="Y56" i="3"/>
  <c r="X56" i="3"/>
  <c r="W56" i="3"/>
  <c r="V56" i="3"/>
  <c r="U56" i="3"/>
  <c r="T56" i="3"/>
  <c r="S56" i="3"/>
  <c r="Z55" i="3"/>
  <c r="Y55" i="3"/>
  <c r="X55" i="3"/>
  <c r="W55" i="3"/>
  <c r="V55" i="3"/>
  <c r="U55" i="3"/>
  <c r="T55" i="3"/>
  <c r="S55" i="3"/>
  <c r="Z54" i="3"/>
  <c r="Y54" i="3"/>
  <c r="X54" i="3"/>
  <c r="W54" i="3"/>
  <c r="V54" i="3"/>
  <c r="U54" i="3"/>
  <c r="T54" i="3"/>
  <c r="S54" i="3"/>
  <c r="Z53" i="3"/>
  <c r="Y53" i="3"/>
  <c r="X53" i="3"/>
  <c r="P24" i="3" s="1"/>
  <c r="W53" i="3"/>
  <c r="V53" i="3"/>
  <c r="U53" i="3"/>
  <c r="T53" i="3"/>
  <c r="S53" i="3"/>
  <c r="Z52" i="3"/>
  <c r="Y52" i="3"/>
  <c r="X52" i="3"/>
  <c r="W52" i="3"/>
  <c r="V52" i="3"/>
  <c r="U52" i="3"/>
  <c r="T52" i="3"/>
  <c r="S52" i="3"/>
  <c r="Z51" i="3"/>
  <c r="Y51" i="3"/>
  <c r="X51" i="3"/>
  <c r="W51" i="3"/>
  <c r="V51" i="3"/>
  <c r="U51" i="3"/>
  <c r="T51" i="3"/>
  <c r="S51" i="3"/>
  <c r="Z50" i="3"/>
  <c r="Y50" i="3"/>
  <c r="X50" i="3"/>
  <c r="W50" i="3"/>
  <c r="V50" i="3"/>
  <c r="U50" i="3"/>
  <c r="T50" i="3"/>
  <c r="S50" i="3"/>
  <c r="Z49" i="3"/>
  <c r="Y49" i="3"/>
  <c r="X49" i="3"/>
  <c r="W49" i="3"/>
  <c r="V49" i="3"/>
  <c r="U49" i="3"/>
  <c r="T49" i="3"/>
  <c r="S49" i="3"/>
  <c r="Z48" i="3"/>
  <c r="Y48" i="3"/>
  <c r="X48" i="3"/>
  <c r="W48" i="3"/>
  <c r="V48" i="3"/>
  <c r="U48" i="3"/>
  <c r="T48" i="3"/>
  <c r="S48" i="3"/>
  <c r="Z47" i="3"/>
  <c r="Y47" i="3"/>
  <c r="X47" i="3"/>
  <c r="W47" i="3"/>
  <c r="P23" i="3" s="1"/>
  <c r="V47" i="3"/>
  <c r="U47" i="3"/>
  <c r="T47" i="3"/>
  <c r="S47" i="3"/>
  <c r="K47" i="3"/>
  <c r="B47" i="3"/>
  <c r="C47" i="3" s="1"/>
  <c r="B48" i="3" s="1"/>
  <c r="C48" i="3" s="1"/>
  <c r="B49" i="3" s="1"/>
  <c r="C49" i="3" s="1"/>
  <c r="B50" i="3" s="1"/>
  <c r="C50" i="3" s="1"/>
  <c r="B51" i="3" s="1"/>
  <c r="C51" i="3" s="1"/>
  <c r="B52" i="3" s="1"/>
  <c r="C52" i="3" s="1"/>
  <c r="B53" i="3" s="1"/>
  <c r="C53" i="3" s="1"/>
  <c r="B54" i="3" s="1"/>
  <c r="C54" i="3" s="1"/>
  <c r="B55" i="3" s="1"/>
  <c r="C55" i="3" s="1"/>
  <c r="B56" i="3" s="1"/>
  <c r="C56" i="3" s="1"/>
  <c r="B57" i="3" s="1"/>
  <c r="C57" i="3" s="1"/>
  <c r="B58" i="3" s="1"/>
  <c r="C58" i="3" s="1"/>
  <c r="A47" i="3"/>
  <c r="L43" i="3"/>
  <c r="K42" i="3"/>
  <c r="K41" i="3"/>
  <c r="K40" i="3"/>
  <c r="K39" i="3"/>
  <c r="K38" i="3"/>
  <c r="K37" i="3"/>
  <c r="K31" i="3"/>
  <c r="G31" i="3" s="1"/>
  <c r="F31" i="3"/>
  <c r="D31" i="3"/>
  <c r="A31" i="3"/>
  <c r="K29" i="3"/>
  <c r="G29" i="3"/>
  <c r="F29" i="3"/>
  <c r="D29" i="3"/>
  <c r="A29" i="3"/>
  <c r="K27" i="3"/>
  <c r="F27" i="3"/>
  <c r="D27" i="3"/>
  <c r="A27" i="3"/>
  <c r="S26" i="3"/>
  <c r="R26" i="3"/>
  <c r="S25" i="3"/>
  <c r="Q25" i="3"/>
  <c r="P25" i="3"/>
  <c r="K25" i="3"/>
  <c r="F25" i="3"/>
  <c r="D25" i="3"/>
  <c r="A25" i="3"/>
  <c r="S24" i="3"/>
  <c r="R24" i="3"/>
  <c r="S23" i="3"/>
  <c r="K23" i="3"/>
  <c r="F23" i="3"/>
  <c r="D23" i="3"/>
  <c r="A23" i="3"/>
  <c r="S22" i="3"/>
  <c r="R22" i="3"/>
  <c r="P22" i="3"/>
  <c r="T21" i="3"/>
  <c r="Q21" i="3"/>
  <c r="P21" i="3"/>
  <c r="K21" i="3"/>
  <c r="F21" i="3"/>
  <c r="D21" i="3"/>
  <c r="R20" i="3"/>
  <c r="Q20" i="3"/>
  <c r="S19" i="3"/>
  <c r="H27" i="3" s="1"/>
  <c r="R19" i="3"/>
  <c r="H140" i="3" l="1"/>
  <c r="R142" i="3"/>
  <c r="H23" i="3"/>
  <c r="U26" i="3"/>
  <c r="H31" i="3" s="1"/>
  <c r="J31" i="3" s="1"/>
  <c r="L32" i="3" s="1"/>
  <c r="G25" i="3"/>
  <c r="L28" i="3"/>
  <c r="G27" i="3"/>
  <c r="R21" i="3"/>
  <c r="T19" i="3"/>
  <c r="K149" i="3"/>
  <c r="L148" i="3" s="1"/>
  <c r="G136" i="3"/>
  <c r="V139" i="3"/>
  <c r="Z229" i="3"/>
  <c r="P141" i="3"/>
  <c r="V141" i="3" s="1"/>
  <c r="L25" i="3"/>
  <c r="L27" i="3"/>
  <c r="L136" i="3"/>
  <c r="Q140" i="3"/>
  <c r="U136" i="3"/>
  <c r="P20" i="3"/>
  <c r="V20" i="3" s="1"/>
  <c r="V135" i="3"/>
  <c r="G140" i="3"/>
  <c r="T229" i="3"/>
  <c r="V21" i="3"/>
  <c r="J140" i="3"/>
  <c r="L141" i="3" s="1"/>
  <c r="P19" i="3"/>
  <c r="U114" i="3"/>
  <c r="U22" i="3"/>
  <c r="U23" i="3"/>
  <c r="V23" i="3" s="1"/>
  <c r="L140" i="3"/>
  <c r="J144" i="3"/>
  <c r="L145" i="3" s="1"/>
  <c r="K158" i="3"/>
  <c r="P136" i="3"/>
  <c r="V136" i="3" s="1"/>
  <c r="H138" i="3"/>
  <c r="J138" i="3" s="1"/>
  <c r="L139" i="3" s="1"/>
  <c r="Q142" i="3"/>
  <c r="I138" i="3" s="1"/>
  <c r="T142" i="3"/>
  <c r="I144" i="3" s="1"/>
  <c r="H144" i="3"/>
  <c r="U20" i="3"/>
  <c r="T25" i="3"/>
  <c r="T26" i="3"/>
  <c r="K43" i="3"/>
  <c r="V114" i="3"/>
  <c r="G138" i="3"/>
  <c r="V140" i="3"/>
  <c r="P137" i="3"/>
  <c r="V137" i="3" s="1"/>
  <c r="V229" i="3"/>
  <c r="Q135" i="3"/>
  <c r="T135" i="3"/>
  <c r="T137" i="3"/>
  <c r="G23" i="3"/>
  <c r="G142" i="3"/>
  <c r="S134" i="3"/>
  <c r="S229" i="3"/>
  <c r="AA229" i="3" s="1"/>
  <c r="J25" i="3"/>
  <c r="L26" i="3" s="1"/>
  <c r="W114" i="3"/>
  <c r="P26" i="3"/>
  <c r="U24" i="3"/>
  <c r="V24" i="3" s="1"/>
  <c r="L138" i="3"/>
  <c r="W229" i="3"/>
  <c r="Q136" i="3"/>
  <c r="H25" i="3"/>
  <c r="R27" i="3"/>
  <c r="I25" i="3" s="1"/>
  <c r="J23" i="3"/>
  <c r="L23" i="3" s="1"/>
  <c r="K34" i="3"/>
  <c r="G21" i="3"/>
  <c r="H3" i="3"/>
  <c r="L21" i="3"/>
  <c r="J27" i="3"/>
  <c r="I27" i="3"/>
  <c r="L29" i="3"/>
  <c r="X114" i="3"/>
  <c r="S114" i="3"/>
  <c r="Q22" i="3"/>
  <c r="V22" i="3" s="1"/>
  <c r="U25" i="3"/>
  <c r="U27" i="3" s="1"/>
  <c r="I31" i="3" s="1"/>
  <c r="V138" i="3"/>
  <c r="L144" i="3"/>
  <c r="X229" i="3"/>
  <c r="U134" i="3"/>
  <c r="U229" i="3"/>
  <c r="P134" i="3"/>
  <c r="L31" i="3"/>
  <c r="L146" i="3"/>
  <c r="T114" i="3"/>
  <c r="I140" i="3"/>
  <c r="AA114" i="3" l="1"/>
  <c r="U142" i="3"/>
  <c r="I146" i="3" s="1"/>
  <c r="H146" i="3"/>
  <c r="J146" i="3" s="1"/>
  <c r="L147" i="3" s="1"/>
  <c r="L24" i="3"/>
  <c r="H142" i="3"/>
  <c r="J142" i="3" s="1"/>
  <c r="L143" i="3" s="1"/>
  <c r="S142" i="3"/>
  <c r="I142" i="3" s="1"/>
  <c r="H21" i="3"/>
  <c r="J21" i="3" s="1"/>
  <c r="P27" i="3"/>
  <c r="V19" i="3"/>
  <c r="H136" i="3"/>
  <c r="J136" i="3" s="1"/>
  <c r="V134" i="3"/>
  <c r="P142" i="3"/>
  <c r="Q27" i="3"/>
  <c r="I23" i="3" s="1"/>
  <c r="V26" i="3"/>
  <c r="H29" i="3"/>
  <c r="J29" i="3" s="1"/>
  <c r="L30" i="3" s="1"/>
  <c r="T27" i="3"/>
  <c r="I29" i="3" s="1"/>
  <c r="V25" i="3"/>
  <c r="V27" i="3" l="1"/>
  <c r="I21" i="3"/>
  <c r="J34" i="3"/>
  <c r="L33" i="3" s="1"/>
  <c r="G3" i="3"/>
  <c r="L22" i="3"/>
  <c r="J149" i="3"/>
  <c r="L137" i="3"/>
  <c r="V142" i="3"/>
  <c r="I136" i="3"/>
  <c r="Z228" i="2" l="1"/>
  <c r="Y228" i="2"/>
  <c r="X228" i="2"/>
  <c r="W228" i="2"/>
  <c r="V228" i="2"/>
  <c r="U228" i="2"/>
  <c r="T228" i="2"/>
  <c r="S228" i="2"/>
  <c r="O228" i="2"/>
  <c r="K228" i="2"/>
  <c r="Z227" i="2"/>
  <c r="Y227" i="2"/>
  <c r="X227" i="2"/>
  <c r="W227" i="2"/>
  <c r="V227" i="2"/>
  <c r="U227" i="2"/>
  <c r="T227" i="2"/>
  <c r="S227" i="2"/>
  <c r="O227" i="2"/>
  <c r="K227" i="2"/>
  <c r="Z226" i="2"/>
  <c r="Y226" i="2"/>
  <c r="X226" i="2"/>
  <c r="W226" i="2"/>
  <c r="V226" i="2"/>
  <c r="U226" i="2"/>
  <c r="T226" i="2"/>
  <c r="S226" i="2"/>
  <c r="O226" i="2"/>
  <c r="K226" i="2"/>
  <c r="Z225" i="2"/>
  <c r="Y225" i="2"/>
  <c r="X225" i="2"/>
  <c r="W225" i="2"/>
  <c r="V225" i="2"/>
  <c r="U225" i="2"/>
  <c r="T225" i="2"/>
  <c r="S225" i="2"/>
  <c r="O225" i="2"/>
  <c r="K225" i="2"/>
  <c r="Z224" i="2"/>
  <c r="Y224" i="2"/>
  <c r="X224" i="2"/>
  <c r="W224" i="2"/>
  <c r="V224" i="2"/>
  <c r="U224" i="2"/>
  <c r="T224" i="2"/>
  <c r="S224" i="2"/>
  <c r="O224" i="2"/>
  <c r="K224" i="2"/>
  <c r="Z223" i="2"/>
  <c r="Y223" i="2"/>
  <c r="X223" i="2"/>
  <c r="W223" i="2"/>
  <c r="V223" i="2"/>
  <c r="U223" i="2"/>
  <c r="T223" i="2"/>
  <c r="S223" i="2"/>
  <c r="O223" i="2"/>
  <c r="K223" i="2"/>
  <c r="Z222" i="2"/>
  <c r="Y222" i="2"/>
  <c r="X222" i="2"/>
  <c r="W222" i="2"/>
  <c r="V222" i="2"/>
  <c r="U222" i="2"/>
  <c r="T222" i="2"/>
  <c r="S222" i="2"/>
  <c r="O222" i="2"/>
  <c r="K222" i="2"/>
  <c r="Z221" i="2"/>
  <c r="Y221" i="2"/>
  <c r="X221" i="2"/>
  <c r="W221" i="2"/>
  <c r="V221" i="2"/>
  <c r="U221" i="2"/>
  <c r="T221" i="2"/>
  <c r="S221" i="2"/>
  <c r="O221" i="2"/>
  <c r="K221" i="2"/>
  <c r="Z220" i="2"/>
  <c r="Y220" i="2"/>
  <c r="X220" i="2"/>
  <c r="W220" i="2"/>
  <c r="V220" i="2"/>
  <c r="U220" i="2"/>
  <c r="T220" i="2"/>
  <c r="S220" i="2"/>
  <c r="O220" i="2"/>
  <c r="K220" i="2"/>
  <c r="Z219" i="2"/>
  <c r="Y219" i="2"/>
  <c r="X219" i="2"/>
  <c r="W219" i="2"/>
  <c r="V219" i="2"/>
  <c r="U137" i="2" s="1"/>
  <c r="U219" i="2"/>
  <c r="T219" i="2"/>
  <c r="S219" i="2"/>
  <c r="O219" i="2"/>
  <c r="K219" i="2"/>
  <c r="Z218" i="2"/>
  <c r="Y218" i="2"/>
  <c r="X218" i="2"/>
  <c r="U139" i="2" s="1"/>
  <c r="W218" i="2"/>
  <c r="V218" i="2"/>
  <c r="U218" i="2"/>
  <c r="T218" i="2"/>
  <c r="U135" i="2" s="1"/>
  <c r="S218" i="2"/>
  <c r="U134" i="2" s="1"/>
  <c r="O218" i="2"/>
  <c r="K218" i="2"/>
  <c r="A218" i="2"/>
  <c r="Z217" i="2"/>
  <c r="U141" i="2" s="1"/>
  <c r="Y217" i="2"/>
  <c r="X217" i="2"/>
  <c r="W217" i="2"/>
  <c r="V217" i="2"/>
  <c r="U217" i="2"/>
  <c r="T217" i="2"/>
  <c r="S217" i="2"/>
  <c r="O217" i="2"/>
  <c r="K217" i="2"/>
  <c r="Z216" i="2"/>
  <c r="Y216" i="2"/>
  <c r="X216" i="2"/>
  <c r="W216" i="2"/>
  <c r="V216" i="2"/>
  <c r="U216" i="2"/>
  <c r="T216" i="2"/>
  <c r="S216" i="2"/>
  <c r="O216" i="2"/>
  <c r="K216" i="2"/>
  <c r="Z215" i="2"/>
  <c r="Y215" i="2"/>
  <c r="X215" i="2"/>
  <c r="W215" i="2"/>
  <c r="V215" i="2"/>
  <c r="U215" i="2"/>
  <c r="T215" i="2"/>
  <c r="S215" i="2"/>
  <c r="O215" i="2"/>
  <c r="K215" i="2"/>
  <c r="Z214" i="2"/>
  <c r="Y214" i="2"/>
  <c r="X214" i="2"/>
  <c r="W214" i="2"/>
  <c r="V214" i="2"/>
  <c r="U214" i="2"/>
  <c r="T214" i="2"/>
  <c r="S214" i="2"/>
  <c r="O214" i="2"/>
  <c r="K214" i="2"/>
  <c r="Z213" i="2"/>
  <c r="Y213" i="2"/>
  <c r="X213" i="2"/>
  <c r="W213" i="2"/>
  <c r="V213" i="2"/>
  <c r="U213" i="2"/>
  <c r="T213" i="2"/>
  <c r="S213" i="2"/>
  <c r="O213" i="2"/>
  <c r="K213" i="2"/>
  <c r="Z212" i="2"/>
  <c r="Y212" i="2"/>
  <c r="X212" i="2"/>
  <c r="W212" i="2"/>
  <c r="V212" i="2"/>
  <c r="U212" i="2"/>
  <c r="T212" i="2"/>
  <c r="S212" i="2"/>
  <c r="O212" i="2"/>
  <c r="K212" i="2"/>
  <c r="Z211" i="2"/>
  <c r="Y211" i="2"/>
  <c r="X211" i="2"/>
  <c r="W211" i="2"/>
  <c r="V211" i="2"/>
  <c r="U211" i="2"/>
  <c r="T211" i="2"/>
  <c r="S211" i="2"/>
  <c r="O211" i="2"/>
  <c r="K211" i="2"/>
  <c r="Z210" i="2"/>
  <c r="Y210" i="2"/>
  <c r="X210" i="2"/>
  <c r="W210" i="2"/>
  <c r="V210" i="2"/>
  <c r="U210" i="2"/>
  <c r="T210" i="2"/>
  <c r="S210" i="2"/>
  <c r="O210" i="2"/>
  <c r="K210" i="2"/>
  <c r="Z209" i="2"/>
  <c r="Y209" i="2"/>
  <c r="X209" i="2"/>
  <c r="W209" i="2"/>
  <c r="V209" i="2"/>
  <c r="U209" i="2"/>
  <c r="T209" i="2"/>
  <c r="S209" i="2"/>
  <c r="O209" i="2"/>
  <c r="K209" i="2"/>
  <c r="Z208" i="2"/>
  <c r="Y208" i="2"/>
  <c r="T140" i="2" s="1"/>
  <c r="X208" i="2"/>
  <c r="W208" i="2"/>
  <c r="V208" i="2"/>
  <c r="U208" i="2"/>
  <c r="T208" i="2"/>
  <c r="S208" i="2"/>
  <c r="O208" i="2"/>
  <c r="K208" i="2"/>
  <c r="Z207" i="2"/>
  <c r="Y207" i="2"/>
  <c r="X207" i="2"/>
  <c r="W207" i="2"/>
  <c r="V207" i="2"/>
  <c r="U207" i="2"/>
  <c r="T207" i="2"/>
  <c r="S207" i="2"/>
  <c r="O207" i="2"/>
  <c r="K207" i="2"/>
  <c r="A207" i="2"/>
  <c r="Z206" i="2"/>
  <c r="Y206" i="2"/>
  <c r="X206" i="2"/>
  <c r="W206" i="2"/>
  <c r="V206" i="2"/>
  <c r="U206" i="2"/>
  <c r="T136" i="2" s="1"/>
  <c r="T206" i="2"/>
  <c r="S206" i="2"/>
  <c r="O206" i="2"/>
  <c r="K206" i="2"/>
  <c r="Z205" i="2"/>
  <c r="Y205" i="2"/>
  <c r="X205" i="2"/>
  <c r="W205" i="2"/>
  <c r="V205" i="2"/>
  <c r="U205" i="2"/>
  <c r="T205" i="2"/>
  <c r="S205" i="2"/>
  <c r="O205" i="2"/>
  <c r="K205" i="2"/>
  <c r="Z204" i="2"/>
  <c r="Y204" i="2"/>
  <c r="X204" i="2"/>
  <c r="W204" i="2"/>
  <c r="V204" i="2"/>
  <c r="U204" i="2"/>
  <c r="T204" i="2"/>
  <c r="S204" i="2"/>
  <c r="O204" i="2"/>
  <c r="K204" i="2"/>
  <c r="Z203" i="2"/>
  <c r="Y203" i="2"/>
  <c r="X203" i="2"/>
  <c r="W203" i="2"/>
  <c r="V203" i="2"/>
  <c r="U203" i="2"/>
  <c r="T203" i="2"/>
  <c r="S203" i="2"/>
  <c r="O203" i="2"/>
  <c r="K203" i="2"/>
  <c r="Z202" i="2"/>
  <c r="Y202" i="2"/>
  <c r="X202" i="2"/>
  <c r="W202" i="2"/>
  <c r="V202" i="2"/>
  <c r="U202" i="2"/>
  <c r="T202" i="2"/>
  <c r="S202" i="2"/>
  <c r="O202" i="2"/>
  <c r="K202" i="2"/>
  <c r="Z201" i="2"/>
  <c r="Y201" i="2"/>
  <c r="X201" i="2"/>
  <c r="W201" i="2"/>
  <c r="V201" i="2"/>
  <c r="U201" i="2"/>
  <c r="T201" i="2"/>
  <c r="S201" i="2"/>
  <c r="O201" i="2"/>
  <c r="K201" i="2"/>
  <c r="Z200" i="2"/>
  <c r="Y200" i="2"/>
  <c r="X200" i="2"/>
  <c r="W200" i="2"/>
  <c r="V200" i="2"/>
  <c r="U200" i="2"/>
  <c r="T200" i="2"/>
  <c r="S200" i="2"/>
  <c r="O200" i="2"/>
  <c r="K200" i="2"/>
  <c r="Z199" i="2"/>
  <c r="Y199" i="2"/>
  <c r="X199" i="2"/>
  <c r="W199" i="2"/>
  <c r="V199" i="2"/>
  <c r="U199" i="2"/>
  <c r="T199" i="2"/>
  <c r="S199" i="2"/>
  <c r="O199" i="2"/>
  <c r="K199" i="2"/>
  <c r="Z198" i="2"/>
  <c r="Y198" i="2"/>
  <c r="X198" i="2"/>
  <c r="W198" i="2"/>
  <c r="V198" i="2"/>
  <c r="U198" i="2"/>
  <c r="T198" i="2"/>
  <c r="S198" i="2"/>
  <c r="O198" i="2"/>
  <c r="K198" i="2"/>
  <c r="Z197" i="2"/>
  <c r="Y197" i="2"/>
  <c r="X197" i="2"/>
  <c r="W197" i="2"/>
  <c r="V197" i="2"/>
  <c r="U197" i="2"/>
  <c r="T197" i="2"/>
  <c r="S197" i="2"/>
  <c r="O197" i="2"/>
  <c r="K197" i="2"/>
  <c r="Z196" i="2"/>
  <c r="Y196" i="2"/>
  <c r="X196" i="2"/>
  <c r="W196" i="2"/>
  <c r="V196" i="2"/>
  <c r="U196" i="2"/>
  <c r="T196" i="2"/>
  <c r="S196" i="2"/>
  <c r="O196" i="2"/>
  <c r="K196" i="2"/>
  <c r="B196" i="2"/>
  <c r="C196" i="2" s="1"/>
  <c r="B197" i="2" s="1"/>
  <c r="C197" i="2" s="1"/>
  <c r="B198" i="2" s="1"/>
  <c r="C198" i="2" s="1"/>
  <c r="B199" i="2" s="1"/>
  <c r="C199" i="2" s="1"/>
  <c r="B200" i="2" s="1"/>
  <c r="C200" i="2" s="1"/>
  <c r="B201" i="2" s="1"/>
  <c r="C201" i="2" s="1"/>
  <c r="B202" i="2" s="1"/>
  <c r="C202" i="2" s="1"/>
  <c r="B203" i="2" s="1"/>
  <c r="C203" i="2" s="1"/>
  <c r="B204" i="2" s="1"/>
  <c r="C204" i="2" s="1"/>
  <c r="B205" i="2" s="1"/>
  <c r="C205" i="2" s="1"/>
  <c r="B206" i="2" s="1"/>
  <c r="C206" i="2" s="1"/>
  <c r="A196" i="2"/>
  <c r="Z195" i="2"/>
  <c r="S141" i="2" s="1"/>
  <c r="H142" i="2" s="1"/>
  <c r="J142" i="2" s="1"/>
  <c r="L143" i="2" s="1"/>
  <c r="Y195" i="2"/>
  <c r="X195" i="2"/>
  <c r="S139" i="2" s="1"/>
  <c r="W195" i="2"/>
  <c r="S138" i="2" s="1"/>
  <c r="V195" i="2"/>
  <c r="U195" i="2"/>
  <c r="T195" i="2"/>
  <c r="S195" i="2"/>
  <c r="O195" i="2"/>
  <c r="K195" i="2"/>
  <c r="Z194" i="2"/>
  <c r="Y194" i="2"/>
  <c r="X194" i="2"/>
  <c r="W194" i="2"/>
  <c r="V194" i="2"/>
  <c r="U194" i="2"/>
  <c r="T194" i="2"/>
  <c r="S194" i="2"/>
  <c r="O194" i="2"/>
  <c r="K194" i="2"/>
  <c r="Z193" i="2"/>
  <c r="Y193" i="2"/>
  <c r="X193" i="2"/>
  <c r="W193" i="2"/>
  <c r="V193" i="2"/>
  <c r="U193" i="2"/>
  <c r="T193" i="2"/>
  <c r="S193" i="2"/>
  <c r="O193" i="2"/>
  <c r="K193" i="2"/>
  <c r="Z192" i="2"/>
  <c r="Y192" i="2"/>
  <c r="X192" i="2"/>
  <c r="W192" i="2"/>
  <c r="V192" i="2"/>
  <c r="U192" i="2"/>
  <c r="T192" i="2"/>
  <c r="S192" i="2"/>
  <c r="O192" i="2"/>
  <c r="K192" i="2"/>
  <c r="Z191" i="2"/>
  <c r="Y191" i="2"/>
  <c r="X191" i="2"/>
  <c r="W191" i="2"/>
  <c r="V191" i="2"/>
  <c r="U191" i="2"/>
  <c r="T191" i="2"/>
  <c r="S191" i="2"/>
  <c r="O191" i="2"/>
  <c r="K191" i="2"/>
  <c r="Z190" i="2"/>
  <c r="Y190" i="2"/>
  <c r="X190" i="2"/>
  <c r="W190" i="2"/>
  <c r="V190" i="2"/>
  <c r="U190" i="2"/>
  <c r="T190" i="2"/>
  <c r="S190" i="2"/>
  <c r="O190" i="2"/>
  <c r="K190" i="2"/>
  <c r="Z189" i="2"/>
  <c r="Y189" i="2"/>
  <c r="X189" i="2"/>
  <c r="W189" i="2"/>
  <c r="V189" i="2"/>
  <c r="U189" i="2"/>
  <c r="T189" i="2"/>
  <c r="S189" i="2"/>
  <c r="O189" i="2"/>
  <c r="K189" i="2"/>
  <c r="Z188" i="2"/>
  <c r="Y188" i="2"/>
  <c r="X188" i="2"/>
  <c r="W188" i="2"/>
  <c r="V188" i="2"/>
  <c r="R137" i="2" s="1"/>
  <c r="U188" i="2"/>
  <c r="T188" i="2"/>
  <c r="S188" i="2"/>
  <c r="O188" i="2"/>
  <c r="K188" i="2"/>
  <c r="Z187" i="2"/>
  <c r="Y187" i="2"/>
  <c r="X187" i="2"/>
  <c r="W187" i="2"/>
  <c r="V187" i="2"/>
  <c r="U187" i="2"/>
  <c r="T187" i="2"/>
  <c r="S187" i="2"/>
  <c r="O187" i="2"/>
  <c r="K187" i="2"/>
  <c r="Z186" i="2"/>
  <c r="Y186" i="2"/>
  <c r="X186" i="2"/>
  <c r="W186" i="2"/>
  <c r="V186" i="2"/>
  <c r="U186" i="2"/>
  <c r="T186" i="2"/>
  <c r="S186" i="2"/>
  <c r="O186" i="2"/>
  <c r="K186" i="2"/>
  <c r="B186" i="2"/>
  <c r="C186" i="2" s="1"/>
  <c r="B187" i="2" s="1"/>
  <c r="C187" i="2" s="1"/>
  <c r="B188" i="2" s="1"/>
  <c r="C188" i="2" s="1"/>
  <c r="B189" i="2" s="1"/>
  <c r="C189" i="2" s="1"/>
  <c r="B190" i="2" s="1"/>
  <c r="C190" i="2" s="1"/>
  <c r="B191" i="2" s="1"/>
  <c r="C191" i="2" s="1"/>
  <c r="B192" i="2" s="1"/>
  <c r="C192" i="2" s="1"/>
  <c r="B193" i="2" s="1"/>
  <c r="C193" i="2" s="1"/>
  <c r="B194" i="2" s="1"/>
  <c r="C194" i="2" s="1"/>
  <c r="B195" i="2" s="1"/>
  <c r="C195" i="2" s="1"/>
  <c r="Z185" i="2"/>
  <c r="Y185" i="2"/>
  <c r="X185" i="2"/>
  <c r="W185" i="2"/>
  <c r="V185" i="2"/>
  <c r="U185" i="2"/>
  <c r="T185" i="2"/>
  <c r="S185" i="2"/>
  <c r="O185" i="2"/>
  <c r="K185" i="2"/>
  <c r="B185" i="2"/>
  <c r="C185" i="2" s="1"/>
  <c r="A185" i="2"/>
  <c r="Z184" i="2"/>
  <c r="R141" i="2" s="1"/>
  <c r="H140" i="2" s="1"/>
  <c r="Y184" i="2"/>
  <c r="X184" i="2"/>
  <c r="W184" i="2"/>
  <c r="R138" i="2" s="1"/>
  <c r="V184" i="2"/>
  <c r="U184" i="2"/>
  <c r="T184" i="2"/>
  <c r="S184" i="2"/>
  <c r="O184" i="2"/>
  <c r="K184" i="2"/>
  <c r="Z183" i="2"/>
  <c r="Y183" i="2"/>
  <c r="X183" i="2"/>
  <c r="W183" i="2"/>
  <c r="V183" i="2"/>
  <c r="U183" i="2"/>
  <c r="T183" i="2"/>
  <c r="S183" i="2"/>
  <c r="O183" i="2"/>
  <c r="K183" i="2"/>
  <c r="Z182" i="2"/>
  <c r="Y182" i="2"/>
  <c r="X182" i="2"/>
  <c r="W182" i="2"/>
  <c r="V182" i="2"/>
  <c r="U182" i="2"/>
  <c r="T182" i="2"/>
  <c r="S182" i="2"/>
  <c r="O182" i="2"/>
  <c r="K182" i="2"/>
  <c r="Z181" i="2"/>
  <c r="Y181" i="2"/>
  <c r="X181" i="2"/>
  <c r="W181" i="2"/>
  <c r="V181" i="2"/>
  <c r="U181" i="2"/>
  <c r="T181" i="2"/>
  <c r="S181" i="2"/>
  <c r="O181" i="2"/>
  <c r="K181" i="2"/>
  <c r="Z180" i="2"/>
  <c r="Y180" i="2"/>
  <c r="X180" i="2"/>
  <c r="W180" i="2"/>
  <c r="V180" i="2"/>
  <c r="U180" i="2"/>
  <c r="T180" i="2"/>
  <c r="S180" i="2"/>
  <c r="O180" i="2"/>
  <c r="K180" i="2"/>
  <c r="Z179" i="2"/>
  <c r="Y179" i="2"/>
  <c r="X179" i="2"/>
  <c r="W179" i="2"/>
  <c r="V179" i="2"/>
  <c r="U179" i="2"/>
  <c r="T179" i="2"/>
  <c r="S179" i="2"/>
  <c r="O179" i="2"/>
  <c r="K179" i="2"/>
  <c r="Z178" i="2"/>
  <c r="Y178" i="2"/>
  <c r="X178" i="2"/>
  <c r="W178" i="2"/>
  <c r="V178" i="2"/>
  <c r="U178" i="2"/>
  <c r="T178" i="2"/>
  <c r="S178" i="2"/>
  <c r="O178" i="2"/>
  <c r="K178" i="2"/>
  <c r="Z177" i="2"/>
  <c r="Y177" i="2"/>
  <c r="X177" i="2"/>
  <c r="W177" i="2"/>
  <c r="V177" i="2"/>
  <c r="U177" i="2"/>
  <c r="T177" i="2"/>
  <c r="S177" i="2"/>
  <c r="O177" i="2"/>
  <c r="K177" i="2"/>
  <c r="Z176" i="2"/>
  <c r="Y176" i="2"/>
  <c r="X176" i="2"/>
  <c r="W176" i="2"/>
  <c r="Q138" i="2" s="1"/>
  <c r="V176" i="2"/>
  <c r="U176" i="2"/>
  <c r="T176" i="2"/>
  <c r="S176" i="2"/>
  <c r="O176" i="2"/>
  <c r="K176" i="2"/>
  <c r="Z175" i="2"/>
  <c r="Y175" i="2"/>
  <c r="X175" i="2"/>
  <c r="W175" i="2"/>
  <c r="V175" i="2"/>
  <c r="U175" i="2"/>
  <c r="T175" i="2"/>
  <c r="S175" i="2"/>
  <c r="O175" i="2"/>
  <c r="K175" i="2"/>
  <c r="Z174" i="2"/>
  <c r="Y174" i="2"/>
  <c r="X174" i="2"/>
  <c r="Q139" i="2" s="1"/>
  <c r="W174" i="2"/>
  <c r="V174" i="2"/>
  <c r="U174" i="2"/>
  <c r="T174" i="2"/>
  <c r="S174" i="2"/>
  <c r="Q134" i="2" s="1"/>
  <c r="O174" i="2"/>
  <c r="K174" i="2"/>
  <c r="C174" i="2"/>
  <c r="B175" i="2" s="1"/>
  <c r="C175" i="2" s="1"/>
  <c r="B176" i="2" s="1"/>
  <c r="C176" i="2" s="1"/>
  <c r="B177" i="2" s="1"/>
  <c r="C177" i="2" s="1"/>
  <c r="B178" i="2" s="1"/>
  <c r="C178" i="2" s="1"/>
  <c r="B179" i="2" s="1"/>
  <c r="C179" i="2" s="1"/>
  <c r="B180" i="2" s="1"/>
  <c r="C180" i="2" s="1"/>
  <c r="B181" i="2" s="1"/>
  <c r="C181" i="2" s="1"/>
  <c r="B182" i="2" s="1"/>
  <c r="C182" i="2" s="1"/>
  <c r="B183" i="2" s="1"/>
  <c r="C183" i="2" s="1"/>
  <c r="B184" i="2" s="1"/>
  <c r="C184" i="2" s="1"/>
  <c r="B174" i="2"/>
  <c r="A174" i="2"/>
  <c r="Z173" i="2"/>
  <c r="Y173" i="2"/>
  <c r="Q140" i="2" s="1"/>
  <c r="X173" i="2"/>
  <c r="W173" i="2"/>
  <c r="V173" i="2"/>
  <c r="U173" i="2"/>
  <c r="T173" i="2"/>
  <c r="S173" i="2"/>
  <c r="O173" i="2"/>
  <c r="K173" i="2"/>
  <c r="Z172" i="2"/>
  <c r="Y172" i="2"/>
  <c r="X172" i="2"/>
  <c r="W172" i="2"/>
  <c r="V172" i="2"/>
  <c r="U172" i="2"/>
  <c r="T172" i="2"/>
  <c r="S172" i="2"/>
  <c r="O172" i="2"/>
  <c r="K172" i="2"/>
  <c r="Z171" i="2"/>
  <c r="Y171" i="2"/>
  <c r="X171" i="2"/>
  <c r="W171" i="2"/>
  <c r="V171" i="2"/>
  <c r="U171" i="2"/>
  <c r="T171" i="2"/>
  <c r="S171" i="2"/>
  <c r="O171" i="2"/>
  <c r="K171" i="2"/>
  <c r="Z170" i="2"/>
  <c r="Y170" i="2"/>
  <c r="X170" i="2"/>
  <c r="W170" i="2"/>
  <c r="V170" i="2"/>
  <c r="U170" i="2"/>
  <c r="T170" i="2"/>
  <c r="S170" i="2"/>
  <c r="O170" i="2"/>
  <c r="K170" i="2"/>
  <c r="Z169" i="2"/>
  <c r="Y169" i="2"/>
  <c r="X169" i="2"/>
  <c r="W169" i="2"/>
  <c r="V169" i="2"/>
  <c r="U169" i="2"/>
  <c r="T169" i="2"/>
  <c r="S169" i="2"/>
  <c r="O169" i="2"/>
  <c r="K169" i="2"/>
  <c r="Z168" i="2"/>
  <c r="Y168" i="2"/>
  <c r="X168" i="2"/>
  <c r="W168" i="2"/>
  <c r="V168" i="2"/>
  <c r="U168" i="2"/>
  <c r="T168" i="2"/>
  <c r="S168" i="2"/>
  <c r="O168" i="2"/>
  <c r="K168" i="2"/>
  <c r="Z167" i="2"/>
  <c r="Y167" i="2"/>
  <c r="X167" i="2"/>
  <c r="W167" i="2"/>
  <c r="V167" i="2"/>
  <c r="U167" i="2"/>
  <c r="T167" i="2"/>
  <c r="S167" i="2"/>
  <c r="O167" i="2"/>
  <c r="K167" i="2"/>
  <c r="Z166" i="2"/>
  <c r="Y166" i="2"/>
  <c r="X166" i="2"/>
  <c r="W166" i="2"/>
  <c r="V166" i="2"/>
  <c r="U166" i="2"/>
  <c r="T166" i="2"/>
  <c r="S166" i="2"/>
  <c r="O166" i="2"/>
  <c r="K166" i="2"/>
  <c r="Z165" i="2"/>
  <c r="Y165" i="2"/>
  <c r="X165" i="2"/>
  <c r="W165" i="2"/>
  <c r="V165" i="2"/>
  <c r="U165" i="2"/>
  <c r="T165" i="2"/>
  <c r="S165" i="2"/>
  <c r="O165" i="2"/>
  <c r="K165" i="2"/>
  <c r="Z164" i="2"/>
  <c r="Y164" i="2"/>
  <c r="X164" i="2"/>
  <c r="W164" i="2"/>
  <c r="V164" i="2"/>
  <c r="U164" i="2"/>
  <c r="T164" i="2"/>
  <c r="S164" i="2"/>
  <c r="O164" i="2"/>
  <c r="K164" i="2"/>
  <c r="Z163" i="2"/>
  <c r="Y163" i="2"/>
  <c r="X163" i="2"/>
  <c r="W163" i="2"/>
  <c r="V163" i="2"/>
  <c r="U163" i="2"/>
  <c r="T163" i="2"/>
  <c r="S163" i="2"/>
  <c r="O163" i="2"/>
  <c r="K163" i="2"/>
  <c r="Z162" i="2"/>
  <c r="Y162" i="2"/>
  <c r="X162" i="2"/>
  <c r="W162" i="2"/>
  <c r="V162" i="2"/>
  <c r="U162" i="2"/>
  <c r="T162" i="2"/>
  <c r="S162" i="2"/>
  <c r="O162" i="2"/>
  <c r="K162" i="2"/>
  <c r="B162" i="2"/>
  <c r="C162" i="2" s="1"/>
  <c r="B163" i="2" s="1"/>
  <c r="C163" i="2" s="1"/>
  <c r="B164" i="2" s="1"/>
  <c r="C164" i="2" s="1"/>
  <c r="B165" i="2" s="1"/>
  <c r="C165" i="2" s="1"/>
  <c r="B166" i="2" s="1"/>
  <c r="C166" i="2" s="1"/>
  <c r="B167" i="2" s="1"/>
  <c r="C167" i="2" s="1"/>
  <c r="B168" i="2" s="1"/>
  <c r="C168" i="2" s="1"/>
  <c r="B169" i="2" s="1"/>
  <c r="C169" i="2" s="1"/>
  <c r="B170" i="2" s="1"/>
  <c r="C170" i="2" s="1"/>
  <c r="B171" i="2" s="1"/>
  <c r="C171" i="2" s="1"/>
  <c r="B172" i="2" s="1"/>
  <c r="C172" i="2" s="1"/>
  <c r="B173" i="2" s="1"/>
  <c r="C173" i="2" s="1"/>
  <c r="A162" i="2"/>
  <c r="L158" i="2"/>
  <c r="K157" i="2"/>
  <c r="K156" i="2"/>
  <c r="K155" i="2"/>
  <c r="K154" i="2"/>
  <c r="K158" i="2" s="1"/>
  <c r="K153" i="2"/>
  <c r="K152" i="2"/>
  <c r="K146" i="2"/>
  <c r="G146" i="2"/>
  <c r="F146" i="2"/>
  <c r="D146" i="2"/>
  <c r="A146" i="2"/>
  <c r="K144" i="2"/>
  <c r="F144" i="2"/>
  <c r="D144" i="2"/>
  <c r="A144" i="2"/>
  <c r="K142" i="2"/>
  <c r="L142" i="2" s="1"/>
  <c r="G142" i="2"/>
  <c r="F142" i="2"/>
  <c r="D142" i="2"/>
  <c r="A142" i="2"/>
  <c r="Q141" i="2"/>
  <c r="S140" i="2"/>
  <c r="R140" i="2"/>
  <c r="K140" i="2"/>
  <c r="J140" i="2"/>
  <c r="G140" i="2"/>
  <c r="F140" i="2"/>
  <c r="D140" i="2"/>
  <c r="A140" i="2"/>
  <c r="R139" i="2"/>
  <c r="P138" i="2"/>
  <c r="K138" i="2"/>
  <c r="G138" i="2"/>
  <c r="F138" i="2"/>
  <c r="D138" i="2"/>
  <c r="A138" i="2"/>
  <c r="Q137" i="2"/>
  <c r="P137" i="2"/>
  <c r="R136" i="2"/>
  <c r="Q136" i="2"/>
  <c r="P136" i="2"/>
  <c r="K136" i="2"/>
  <c r="F136" i="2"/>
  <c r="D136" i="2"/>
  <c r="A136" i="2"/>
  <c r="S135" i="2"/>
  <c r="R135" i="2"/>
  <c r="R142" i="2" s="1"/>
  <c r="I140" i="2" s="1"/>
  <c r="Q135" i="2"/>
  <c r="S134" i="2"/>
  <c r="R134" i="2"/>
  <c r="P134" i="2"/>
  <c r="Z113" i="2"/>
  <c r="Y113" i="2"/>
  <c r="X113" i="2"/>
  <c r="W113" i="2"/>
  <c r="V113" i="2"/>
  <c r="U113" i="2"/>
  <c r="T113" i="2"/>
  <c r="S113" i="2"/>
  <c r="O113" i="2"/>
  <c r="K113" i="2"/>
  <c r="Z112" i="2"/>
  <c r="Y112" i="2"/>
  <c r="X112" i="2"/>
  <c r="W112" i="2"/>
  <c r="V112" i="2"/>
  <c r="U112" i="2"/>
  <c r="T112" i="2"/>
  <c r="S112" i="2"/>
  <c r="O112" i="2"/>
  <c r="K112" i="2"/>
  <c r="Z111" i="2"/>
  <c r="Y111" i="2"/>
  <c r="X111" i="2"/>
  <c r="W111" i="2"/>
  <c r="V111" i="2"/>
  <c r="U111" i="2"/>
  <c r="T111" i="2"/>
  <c r="S111" i="2"/>
  <c r="O111" i="2"/>
  <c r="K111" i="2"/>
  <c r="Z110" i="2"/>
  <c r="Y110" i="2"/>
  <c r="X110" i="2"/>
  <c r="W110" i="2"/>
  <c r="V110" i="2"/>
  <c r="U110" i="2"/>
  <c r="T110" i="2"/>
  <c r="S110" i="2"/>
  <c r="O110" i="2"/>
  <c r="K110" i="2"/>
  <c r="Z109" i="2"/>
  <c r="Y109" i="2"/>
  <c r="X109" i="2"/>
  <c r="W109" i="2"/>
  <c r="V109" i="2"/>
  <c r="U109" i="2"/>
  <c r="T109" i="2"/>
  <c r="S109" i="2"/>
  <c r="O109" i="2"/>
  <c r="K109" i="2"/>
  <c r="Z108" i="2"/>
  <c r="Y108" i="2"/>
  <c r="X108" i="2"/>
  <c r="W108" i="2"/>
  <c r="V108" i="2"/>
  <c r="U108" i="2"/>
  <c r="T108" i="2"/>
  <c r="S108" i="2"/>
  <c r="O108" i="2"/>
  <c r="K108" i="2"/>
  <c r="Z107" i="2"/>
  <c r="Y107" i="2"/>
  <c r="X107" i="2"/>
  <c r="W107" i="2"/>
  <c r="V107" i="2"/>
  <c r="U107" i="2"/>
  <c r="T107" i="2"/>
  <c r="S107" i="2"/>
  <c r="O107" i="2"/>
  <c r="K107" i="2"/>
  <c r="Z106" i="2"/>
  <c r="Y106" i="2"/>
  <c r="X106" i="2"/>
  <c r="W106" i="2"/>
  <c r="V106" i="2"/>
  <c r="U106" i="2"/>
  <c r="T106" i="2"/>
  <c r="S106" i="2"/>
  <c r="O106" i="2"/>
  <c r="K106" i="2"/>
  <c r="Z105" i="2"/>
  <c r="Y105" i="2"/>
  <c r="X105" i="2"/>
  <c r="W105" i="2"/>
  <c r="V105" i="2"/>
  <c r="U105" i="2"/>
  <c r="T105" i="2"/>
  <c r="S105" i="2"/>
  <c r="O105" i="2"/>
  <c r="K105" i="2"/>
  <c r="Z104" i="2"/>
  <c r="Y104" i="2"/>
  <c r="X104" i="2"/>
  <c r="W104" i="2"/>
  <c r="V104" i="2"/>
  <c r="U104" i="2"/>
  <c r="T104" i="2"/>
  <c r="S104" i="2"/>
  <c r="U19" i="2" s="1"/>
  <c r="O104" i="2"/>
  <c r="K104" i="2"/>
  <c r="Z103" i="2"/>
  <c r="U26" i="2" s="1"/>
  <c r="Y103" i="2"/>
  <c r="X103" i="2"/>
  <c r="W103" i="2"/>
  <c r="V103" i="2"/>
  <c r="U103" i="2"/>
  <c r="T103" i="2"/>
  <c r="S103" i="2"/>
  <c r="O103" i="2"/>
  <c r="K103" i="2"/>
  <c r="A103" i="2"/>
  <c r="Z102" i="2"/>
  <c r="Y102" i="2"/>
  <c r="X102" i="2"/>
  <c r="U24" i="2" s="1"/>
  <c r="W102" i="2"/>
  <c r="V102" i="2"/>
  <c r="U102" i="2"/>
  <c r="T102" i="2"/>
  <c r="S102" i="2"/>
  <c r="O102" i="2"/>
  <c r="K102" i="2"/>
  <c r="Z101" i="2"/>
  <c r="Y101" i="2"/>
  <c r="X101" i="2"/>
  <c r="W101" i="2"/>
  <c r="V101" i="2"/>
  <c r="U101" i="2"/>
  <c r="T101" i="2"/>
  <c r="S101" i="2"/>
  <c r="O101" i="2"/>
  <c r="K101" i="2"/>
  <c r="Z100" i="2"/>
  <c r="Y100" i="2"/>
  <c r="X100" i="2"/>
  <c r="W100" i="2"/>
  <c r="V100" i="2"/>
  <c r="U100" i="2"/>
  <c r="T100" i="2"/>
  <c r="S100" i="2"/>
  <c r="O100" i="2"/>
  <c r="K100" i="2"/>
  <c r="Z99" i="2"/>
  <c r="Y99" i="2"/>
  <c r="X99" i="2"/>
  <c r="W99" i="2"/>
  <c r="V99" i="2"/>
  <c r="U99" i="2"/>
  <c r="T99" i="2"/>
  <c r="S99" i="2"/>
  <c r="O99" i="2"/>
  <c r="K99" i="2"/>
  <c r="Z98" i="2"/>
  <c r="Y98" i="2"/>
  <c r="X98" i="2"/>
  <c r="W98" i="2"/>
  <c r="V98" i="2"/>
  <c r="U98" i="2"/>
  <c r="T98" i="2"/>
  <c r="S98" i="2"/>
  <c r="O98" i="2"/>
  <c r="K98" i="2"/>
  <c r="Z97" i="2"/>
  <c r="Y97" i="2"/>
  <c r="X97" i="2"/>
  <c r="W97" i="2"/>
  <c r="V97" i="2"/>
  <c r="U97" i="2"/>
  <c r="T97" i="2"/>
  <c r="S97" i="2"/>
  <c r="O97" i="2"/>
  <c r="K97" i="2"/>
  <c r="Z96" i="2"/>
  <c r="Y96" i="2"/>
  <c r="X96" i="2"/>
  <c r="W96" i="2"/>
  <c r="V96" i="2"/>
  <c r="U96" i="2"/>
  <c r="T96" i="2"/>
  <c r="S96" i="2"/>
  <c r="O96" i="2"/>
  <c r="K96" i="2"/>
  <c r="Z95" i="2"/>
  <c r="Y95" i="2"/>
  <c r="T25" i="2" s="1"/>
  <c r="X95" i="2"/>
  <c r="W95" i="2"/>
  <c r="V95" i="2"/>
  <c r="U95" i="2"/>
  <c r="T95" i="2"/>
  <c r="S95" i="2"/>
  <c r="O95" i="2"/>
  <c r="K95" i="2"/>
  <c r="Z94" i="2"/>
  <c r="Y94" i="2"/>
  <c r="X94" i="2"/>
  <c r="W94" i="2"/>
  <c r="V94" i="2"/>
  <c r="U94" i="2"/>
  <c r="T94" i="2"/>
  <c r="S94" i="2"/>
  <c r="O94" i="2"/>
  <c r="K94" i="2"/>
  <c r="Z93" i="2"/>
  <c r="Y93" i="2"/>
  <c r="X93" i="2"/>
  <c r="W93" i="2"/>
  <c r="V93" i="2"/>
  <c r="U93" i="2"/>
  <c r="T93" i="2"/>
  <c r="S93" i="2"/>
  <c r="O93" i="2"/>
  <c r="K93" i="2"/>
  <c r="Z92" i="2"/>
  <c r="Y92" i="2"/>
  <c r="X92" i="2"/>
  <c r="W92" i="2"/>
  <c r="V92" i="2"/>
  <c r="U92" i="2"/>
  <c r="T92" i="2"/>
  <c r="S92" i="2"/>
  <c r="T19" i="2" s="1"/>
  <c r="O92" i="2"/>
  <c r="K92" i="2"/>
  <c r="A92" i="2"/>
  <c r="Z91" i="2"/>
  <c r="Y91" i="2"/>
  <c r="X91" i="2"/>
  <c r="W91" i="2"/>
  <c r="V91" i="2"/>
  <c r="U91" i="2"/>
  <c r="T91" i="2"/>
  <c r="S91" i="2"/>
  <c r="O91" i="2"/>
  <c r="K91" i="2"/>
  <c r="Z90" i="2"/>
  <c r="Y90" i="2"/>
  <c r="X90" i="2"/>
  <c r="W90" i="2"/>
  <c r="V90" i="2"/>
  <c r="U90" i="2"/>
  <c r="T90" i="2"/>
  <c r="S90" i="2"/>
  <c r="O90" i="2"/>
  <c r="K90" i="2"/>
  <c r="Z89" i="2"/>
  <c r="Y89" i="2"/>
  <c r="X89" i="2"/>
  <c r="W89" i="2"/>
  <c r="V89" i="2"/>
  <c r="U89" i="2"/>
  <c r="T89" i="2"/>
  <c r="S89" i="2"/>
  <c r="O89" i="2"/>
  <c r="K89" i="2"/>
  <c r="Z88" i="2"/>
  <c r="Y88" i="2"/>
  <c r="X88" i="2"/>
  <c r="W88" i="2"/>
  <c r="V88" i="2"/>
  <c r="U88" i="2"/>
  <c r="T88" i="2"/>
  <c r="S88" i="2"/>
  <c r="O88" i="2"/>
  <c r="K88" i="2"/>
  <c r="Z87" i="2"/>
  <c r="Y87" i="2"/>
  <c r="X87" i="2"/>
  <c r="W87" i="2"/>
  <c r="S23" i="2" s="1"/>
  <c r="V87" i="2"/>
  <c r="U87" i="2"/>
  <c r="T87" i="2"/>
  <c r="S87" i="2"/>
  <c r="O87" i="2"/>
  <c r="K87" i="2"/>
  <c r="Z86" i="2"/>
  <c r="Y86" i="2"/>
  <c r="X86" i="2"/>
  <c r="W86" i="2"/>
  <c r="V86" i="2"/>
  <c r="U86" i="2"/>
  <c r="T86" i="2"/>
  <c r="S86" i="2"/>
  <c r="O86" i="2"/>
  <c r="K86" i="2"/>
  <c r="Z85" i="2"/>
  <c r="Y85" i="2"/>
  <c r="X85" i="2"/>
  <c r="W85" i="2"/>
  <c r="V85" i="2"/>
  <c r="U85" i="2"/>
  <c r="T85" i="2"/>
  <c r="S85" i="2"/>
  <c r="O85" i="2"/>
  <c r="K85" i="2"/>
  <c r="Z84" i="2"/>
  <c r="Y84" i="2"/>
  <c r="X84" i="2"/>
  <c r="W84" i="2"/>
  <c r="V84" i="2"/>
  <c r="U84" i="2"/>
  <c r="T84" i="2"/>
  <c r="S84" i="2"/>
  <c r="O84" i="2"/>
  <c r="K84" i="2"/>
  <c r="Z83" i="2"/>
  <c r="Y83" i="2"/>
  <c r="X83" i="2"/>
  <c r="W83" i="2"/>
  <c r="V83" i="2"/>
  <c r="U83" i="2"/>
  <c r="T83" i="2"/>
  <c r="S83" i="2"/>
  <c r="O83" i="2"/>
  <c r="K83" i="2"/>
  <c r="Z82" i="2"/>
  <c r="Y82" i="2"/>
  <c r="X82" i="2"/>
  <c r="W82" i="2"/>
  <c r="V82" i="2"/>
  <c r="U82" i="2"/>
  <c r="T82" i="2"/>
  <c r="S82" i="2"/>
  <c r="O82" i="2"/>
  <c r="K82" i="2"/>
  <c r="Z81" i="2"/>
  <c r="Y81" i="2"/>
  <c r="X81" i="2"/>
  <c r="W81" i="2"/>
  <c r="V81" i="2"/>
  <c r="U81" i="2"/>
  <c r="T81" i="2"/>
  <c r="S81" i="2"/>
  <c r="S19" i="2" s="1"/>
  <c r="O81" i="2"/>
  <c r="K81" i="2"/>
  <c r="B81" i="2"/>
  <c r="C81" i="2" s="1"/>
  <c r="B82" i="2" s="1"/>
  <c r="C82" i="2" s="1"/>
  <c r="B83" i="2" s="1"/>
  <c r="C83" i="2" s="1"/>
  <c r="B84" i="2" s="1"/>
  <c r="C84" i="2" s="1"/>
  <c r="B85" i="2" s="1"/>
  <c r="C85" i="2" s="1"/>
  <c r="B86" i="2" s="1"/>
  <c r="C86" i="2" s="1"/>
  <c r="B87" i="2" s="1"/>
  <c r="C87" i="2" s="1"/>
  <c r="B88" i="2" s="1"/>
  <c r="C88" i="2" s="1"/>
  <c r="B89" i="2" s="1"/>
  <c r="C89" i="2" s="1"/>
  <c r="B90" i="2" s="1"/>
  <c r="C90" i="2" s="1"/>
  <c r="B91" i="2" s="1"/>
  <c r="C91" i="2" s="1"/>
  <c r="A81" i="2"/>
  <c r="Z80" i="2"/>
  <c r="Y80" i="2"/>
  <c r="X80" i="2"/>
  <c r="W80" i="2"/>
  <c r="V80" i="2"/>
  <c r="U80" i="2"/>
  <c r="T80" i="2"/>
  <c r="S80" i="2"/>
  <c r="O80" i="2"/>
  <c r="K80" i="2"/>
  <c r="Z79" i="2"/>
  <c r="Y79" i="2"/>
  <c r="X79" i="2"/>
  <c r="W79" i="2"/>
  <c r="V79" i="2"/>
  <c r="U79" i="2"/>
  <c r="T79" i="2"/>
  <c r="S79" i="2"/>
  <c r="O79" i="2"/>
  <c r="K79" i="2"/>
  <c r="Z78" i="2"/>
  <c r="Y78" i="2"/>
  <c r="X78" i="2"/>
  <c r="W78" i="2"/>
  <c r="V78" i="2"/>
  <c r="U78" i="2"/>
  <c r="T78" i="2"/>
  <c r="S78" i="2"/>
  <c r="O78" i="2"/>
  <c r="K78" i="2"/>
  <c r="Z77" i="2"/>
  <c r="Y77" i="2"/>
  <c r="X77" i="2"/>
  <c r="W77" i="2"/>
  <c r="V77" i="2"/>
  <c r="U77" i="2"/>
  <c r="T77" i="2"/>
  <c r="S77" i="2"/>
  <c r="O77" i="2"/>
  <c r="K77" i="2"/>
  <c r="Z76" i="2"/>
  <c r="Y76" i="2"/>
  <c r="X76" i="2"/>
  <c r="W76" i="2"/>
  <c r="V76" i="2"/>
  <c r="U76" i="2"/>
  <c r="T76" i="2"/>
  <c r="S76" i="2"/>
  <c r="O76" i="2"/>
  <c r="K76" i="2"/>
  <c r="Z75" i="2"/>
  <c r="Y75" i="2"/>
  <c r="X75" i="2"/>
  <c r="W75" i="2"/>
  <c r="V75" i="2"/>
  <c r="U75" i="2"/>
  <c r="T75" i="2"/>
  <c r="S75" i="2"/>
  <c r="O75" i="2"/>
  <c r="K75" i="2"/>
  <c r="Z74" i="2"/>
  <c r="Y74" i="2"/>
  <c r="X74" i="2"/>
  <c r="W74" i="2"/>
  <c r="V74" i="2"/>
  <c r="U74" i="2"/>
  <c r="T74" i="2"/>
  <c r="S74" i="2"/>
  <c r="O74" i="2"/>
  <c r="K74" i="2"/>
  <c r="Z73" i="2"/>
  <c r="Y73" i="2"/>
  <c r="X73" i="2"/>
  <c r="W73" i="2"/>
  <c r="V73" i="2"/>
  <c r="U73" i="2"/>
  <c r="T73" i="2"/>
  <c r="S73" i="2"/>
  <c r="O73" i="2"/>
  <c r="K73" i="2"/>
  <c r="Z72" i="2"/>
  <c r="Y72" i="2"/>
  <c r="X72" i="2"/>
  <c r="W72" i="2"/>
  <c r="V72" i="2"/>
  <c r="U72" i="2"/>
  <c r="T72" i="2"/>
  <c r="S72" i="2"/>
  <c r="O72" i="2"/>
  <c r="K72" i="2"/>
  <c r="Z71" i="2"/>
  <c r="Y71" i="2"/>
  <c r="X71" i="2"/>
  <c r="W71" i="2"/>
  <c r="V71" i="2"/>
  <c r="U71" i="2"/>
  <c r="T71" i="2"/>
  <c r="S71" i="2"/>
  <c r="O71" i="2"/>
  <c r="K71" i="2"/>
  <c r="Z70" i="2"/>
  <c r="Y70" i="2"/>
  <c r="X70" i="2"/>
  <c r="X114" i="2" s="1"/>
  <c r="W70" i="2"/>
  <c r="V70" i="2"/>
  <c r="U70" i="2"/>
  <c r="T70" i="2"/>
  <c r="S70" i="2"/>
  <c r="R19" i="2" s="1"/>
  <c r="O70" i="2"/>
  <c r="K70" i="2"/>
  <c r="C70" i="2"/>
  <c r="B71" i="2" s="1"/>
  <c r="C71" i="2" s="1"/>
  <c r="B72" i="2" s="1"/>
  <c r="C72" i="2" s="1"/>
  <c r="B73" i="2" s="1"/>
  <c r="C73" i="2" s="1"/>
  <c r="B74" i="2" s="1"/>
  <c r="C74" i="2" s="1"/>
  <c r="B75" i="2" s="1"/>
  <c r="C75" i="2" s="1"/>
  <c r="B76" i="2" s="1"/>
  <c r="C76" i="2" s="1"/>
  <c r="B77" i="2" s="1"/>
  <c r="C77" i="2" s="1"/>
  <c r="B78" i="2" s="1"/>
  <c r="C78" i="2" s="1"/>
  <c r="B79" i="2" s="1"/>
  <c r="C79" i="2" s="1"/>
  <c r="B80" i="2" s="1"/>
  <c r="C80" i="2" s="1"/>
  <c r="B70" i="2"/>
  <c r="A70" i="2"/>
  <c r="Z69" i="2"/>
  <c r="Y69" i="2"/>
  <c r="R25" i="2" s="1"/>
  <c r="X69" i="2"/>
  <c r="W69" i="2"/>
  <c r="V69" i="2"/>
  <c r="U69" i="2"/>
  <c r="R21" i="2" s="1"/>
  <c r="T69" i="2"/>
  <c r="S69" i="2"/>
  <c r="O69" i="2"/>
  <c r="K69" i="2"/>
  <c r="Z68" i="2"/>
  <c r="Y68" i="2"/>
  <c r="X68" i="2"/>
  <c r="W68" i="2"/>
  <c r="V68" i="2"/>
  <c r="U68" i="2"/>
  <c r="T68" i="2"/>
  <c r="S68" i="2"/>
  <c r="O68" i="2"/>
  <c r="K68" i="2"/>
  <c r="Z67" i="2"/>
  <c r="Y67" i="2"/>
  <c r="X67" i="2"/>
  <c r="W67" i="2"/>
  <c r="V67" i="2"/>
  <c r="U67" i="2"/>
  <c r="T67" i="2"/>
  <c r="S67" i="2"/>
  <c r="O67" i="2"/>
  <c r="K67" i="2"/>
  <c r="Z66" i="2"/>
  <c r="Y66" i="2"/>
  <c r="X66" i="2"/>
  <c r="W66" i="2"/>
  <c r="V66" i="2"/>
  <c r="U66" i="2"/>
  <c r="T66" i="2"/>
  <c r="S66" i="2"/>
  <c r="O66" i="2"/>
  <c r="K66" i="2"/>
  <c r="Z65" i="2"/>
  <c r="Y65" i="2"/>
  <c r="X65" i="2"/>
  <c r="W65" i="2"/>
  <c r="V65" i="2"/>
  <c r="U65" i="2"/>
  <c r="T65" i="2"/>
  <c r="S65" i="2"/>
  <c r="O65" i="2"/>
  <c r="K65" i="2"/>
  <c r="Z64" i="2"/>
  <c r="Y64" i="2"/>
  <c r="X64" i="2"/>
  <c r="W64" i="2"/>
  <c r="V64" i="2"/>
  <c r="U64" i="2"/>
  <c r="T64" i="2"/>
  <c r="S64" i="2"/>
  <c r="O64" i="2"/>
  <c r="K64" i="2"/>
  <c r="Z63" i="2"/>
  <c r="Y63" i="2"/>
  <c r="X63" i="2"/>
  <c r="W63" i="2"/>
  <c r="V63" i="2"/>
  <c r="U63" i="2"/>
  <c r="T63" i="2"/>
  <c r="S63" i="2"/>
  <c r="O63" i="2"/>
  <c r="K63" i="2"/>
  <c r="Z62" i="2"/>
  <c r="Y62" i="2"/>
  <c r="X62" i="2"/>
  <c r="W62" i="2"/>
  <c r="V62" i="2"/>
  <c r="U62" i="2"/>
  <c r="T62" i="2"/>
  <c r="S62" i="2"/>
  <c r="O62" i="2"/>
  <c r="K62" i="2"/>
  <c r="Z61" i="2"/>
  <c r="Y61" i="2"/>
  <c r="X61" i="2"/>
  <c r="W61" i="2"/>
  <c r="V61" i="2"/>
  <c r="U61" i="2"/>
  <c r="T61" i="2"/>
  <c r="S61" i="2"/>
  <c r="O61" i="2"/>
  <c r="K61" i="2"/>
  <c r="Z60" i="2"/>
  <c r="Y60" i="2"/>
  <c r="Y114" i="2" s="1"/>
  <c r="X60" i="2"/>
  <c r="W60" i="2"/>
  <c r="V60" i="2"/>
  <c r="U60" i="2"/>
  <c r="T60" i="2"/>
  <c r="S60" i="2"/>
  <c r="O60" i="2"/>
  <c r="K60" i="2"/>
  <c r="C60" i="2"/>
  <c r="B61" i="2" s="1"/>
  <c r="C61" i="2" s="1"/>
  <c r="B62" i="2" s="1"/>
  <c r="C62" i="2" s="1"/>
  <c r="B63" i="2" s="1"/>
  <c r="C63" i="2" s="1"/>
  <c r="B64" i="2" s="1"/>
  <c r="C64" i="2" s="1"/>
  <c r="B65" i="2" s="1"/>
  <c r="C65" i="2" s="1"/>
  <c r="B66" i="2" s="1"/>
  <c r="C66" i="2" s="1"/>
  <c r="B67" i="2" s="1"/>
  <c r="C67" i="2" s="1"/>
  <c r="B68" i="2" s="1"/>
  <c r="C68" i="2" s="1"/>
  <c r="B69" i="2" s="1"/>
  <c r="C69" i="2" s="1"/>
  <c r="Z59" i="2"/>
  <c r="Y59" i="2"/>
  <c r="X59" i="2"/>
  <c r="W59" i="2"/>
  <c r="V59" i="2"/>
  <c r="U59" i="2"/>
  <c r="T59" i="2"/>
  <c r="Q20" i="2" s="1"/>
  <c r="S59" i="2"/>
  <c r="O59" i="2"/>
  <c r="K59" i="2"/>
  <c r="C59" i="2"/>
  <c r="B60" i="2" s="1"/>
  <c r="B59" i="2"/>
  <c r="A59" i="2"/>
  <c r="Z58" i="2"/>
  <c r="Q26" i="2" s="1"/>
  <c r="Y58" i="2"/>
  <c r="X58" i="2"/>
  <c r="Q24" i="2" s="1"/>
  <c r="W58" i="2"/>
  <c r="Q23" i="2" s="1"/>
  <c r="V58" i="2"/>
  <c r="Q22" i="2" s="1"/>
  <c r="U58" i="2"/>
  <c r="Q21" i="2" s="1"/>
  <c r="T58" i="2"/>
  <c r="S58" i="2"/>
  <c r="O58" i="2"/>
  <c r="K58" i="2"/>
  <c r="Z57" i="2"/>
  <c r="Y57" i="2"/>
  <c r="X57" i="2"/>
  <c r="W57" i="2"/>
  <c r="V57" i="2"/>
  <c r="U57" i="2"/>
  <c r="T57" i="2"/>
  <c r="S57" i="2"/>
  <c r="O57" i="2"/>
  <c r="K57" i="2"/>
  <c r="Z56" i="2"/>
  <c r="Y56" i="2"/>
  <c r="X56" i="2"/>
  <c r="W56" i="2"/>
  <c r="V56" i="2"/>
  <c r="U56" i="2"/>
  <c r="T56" i="2"/>
  <c r="S56" i="2"/>
  <c r="O56" i="2"/>
  <c r="K56" i="2"/>
  <c r="Z55" i="2"/>
  <c r="Y55" i="2"/>
  <c r="X55" i="2"/>
  <c r="W55" i="2"/>
  <c r="V55" i="2"/>
  <c r="U55" i="2"/>
  <c r="T55" i="2"/>
  <c r="S55" i="2"/>
  <c r="O55" i="2"/>
  <c r="K55" i="2"/>
  <c r="Z54" i="2"/>
  <c r="Y54" i="2"/>
  <c r="X54" i="2"/>
  <c r="W54" i="2"/>
  <c r="V54" i="2"/>
  <c r="U54" i="2"/>
  <c r="T54" i="2"/>
  <c r="S54" i="2"/>
  <c r="O54" i="2"/>
  <c r="K54" i="2"/>
  <c r="Z53" i="2"/>
  <c r="Y53" i="2"/>
  <c r="X53" i="2"/>
  <c r="W53" i="2"/>
  <c r="V53" i="2"/>
  <c r="U53" i="2"/>
  <c r="T53" i="2"/>
  <c r="S53" i="2"/>
  <c r="O53" i="2"/>
  <c r="K53" i="2"/>
  <c r="Z52" i="2"/>
  <c r="Y52" i="2"/>
  <c r="X52" i="2"/>
  <c r="W52" i="2"/>
  <c r="V52" i="2"/>
  <c r="U52" i="2"/>
  <c r="T52" i="2"/>
  <c r="S52" i="2"/>
  <c r="O52" i="2"/>
  <c r="K52" i="2"/>
  <c r="Z51" i="2"/>
  <c r="Y51" i="2"/>
  <c r="X51" i="2"/>
  <c r="W51" i="2"/>
  <c r="V51" i="2"/>
  <c r="U51" i="2"/>
  <c r="T51" i="2"/>
  <c r="O51" i="2"/>
  <c r="K51" i="2"/>
  <c r="S51" i="2" s="1"/>
  <c r="Z50" i="2"/>
  <c r="Y50" i="2"/>
  <c r="X50" i="2"/>
  <c r="W50" i="2"/>
  <c r="V50" i="2"/>
  <c r="U50" i="2"/>
  <c r="T50" i="2"/>
  <c r="O50" i="2"/>
  <c r="K50" i="2"/>
  <c r="S50" i="2" s="1"/>
  <c r="B50" i="2"/>
  <c r="C50" i="2" s="1"/>
  <c r="B51" i="2" s="1"/>
  <c r="C51" i="2" s="1"/>
  <c r="B52" i="2" s="1"/>
  <c r="C52" i="2" s="1"/>
  <c r="B53" i="2" s="1"/>
  <c r="C53" i="2" s="1"/>
  <c r="B54" i="2" s="1"/>
  <c r="C54" i="2" s="1"/>
  <c r="B55" i="2" s="1"/>
  <c r="C55" i="2" s="1"/>
  <c r="B56" i="2" s="1"/>
  <c r="C56" i="2" s="1"/>
  <c r="B57" i="2" s="1"/>
  <c r="C57" i="2" s="1"/>
  <c r="B58" i="2" s="1"/>
  <c r="C58" i="2" s="1"/>
  <c r="Z49" i="2"/>
  <c r="Y49" i="2"/>
  <c r="X49" i="2"/>
  <c r="W49" i="2"/>
  <c r="V49" i="2"/>
  <c r="U49" i="2"/>
  <c r="T49" i="2"/>
  <c r="O49" i="2"/>
  <c r="K49" i="2"/>
  <c r="S49" i="2" s="1"/>
  <c r="B49" i="2"/>
  <c r="C49" i="2" s="1"/>
  <c r="Y48" i="2"/>
  <c r="X48" i="2"/>
  <c r="W48" i="2"/>
  <c r="V48" i="2"/>
  <c r="U48" i="2"/>
  <c r="T48" i="2"/>
  <c r="S48" i="2"/>
  <c r="O48" i="2"/>
  <c r="K48" i="2"/>
  <c r="Z48" i="2" s="1"/>
  <c r="B48" i="2"/>
  <c r="C48" i="2" s="1"/>
  <c r="Y47" i="2"/>
  <c r="X47" i="2"/>
  <c r="W47" i="2"/>
  <c r="V47" i="2"/>
  <c r="U47" i="2"/>
  <c r="T47" i="2"/>
  <c r="S47" i="2"/>
  <c r="O47" i="2"/>
  <c r="K47" i="2"/>
  <c r="Z47" i="2" s="1"/>
  <c r="B47" i="2"/>
  <c r="C47" i="2" s="1"/>
  <c r="A47" i="2"/>
  <c r="L43" i="2"/>
  <c r="K42" i="2"/>
  <c r="K41" i="2"/>
  <c r="K40" i="2"/>
  <c r="K39" i="2"/>
  <c r="K38" i="2"/>
  <c r="K37" i="2"/>
  <c r="K43" i="2" s="1"/>
  <c r="L31" i="2"/>
  <c r="K31" i="2"/>
  <c r="G31" i="2" s="1"/>
  <c r="F31" i="2"/>
  <c r="D31" i="2"/>
  <c r="A31" i="2"/>
  <c r="K29" i="2"/>
  <c r="G29" i="2"/>
  <c r="F29" i="2"/>
  <c r="D29" i="2"/>
  <c r="A29" i="2"/>
  <c r="L27" i="2"/>
  <c r="K27" i="2"/>
  <c r="G27" i="2"/>
  <c r="F27" i="2"/>
  <c r="D27" i="2"/>
  <c r="A27" i="2"/>
  <c r="S26" i="2"/>
  <c r="R26" i="2"/>
  <c r="S25" i="2"/>
  <c r="P25" i="2"/>
  <c r="K25" i="2"/>
  <c r="G25" i="2"/>
  <c r="F25" i="2"/>
  <c r="D25" i="2"/>
  <c r="A25" i="2"/>
  <c r="S24" i="2"/>
  <c r="P24" i="2"/>
  <c r="T23" i="2"/>
  <c r="R23" i="2"/>
  <c r="P23" i="2"/>
  <c r="K23" i="2"/>
  <c r="G23" i="2" s="1"/>
  <c r="H23" i="2"/>
  <c r="F23" i="2"/>
  <c r="D23" i="2"/>
  <c r="J23" i="2" s="1"/>
  <c r="A23" i="2"/>
  <c r="S22" i="2"/>
  <c r="R22" i="2"/>
  <c r="P22" i="2"/>
  <c r="T21" i="2"/>
  <c r="S21" i="2"/>
  <c r="K21" i="2"/>
  <c r="F21" i="2"/>
  <c r="D21" i="2"/>
  <c r="G21" i="2" s="1"/>
  <c r="A21" i="2"/>
  <c r="S20" i="2"/>
  <c r="R20" i="2"/>
  <c r="P20" i="2"/>
  <c r="Q19" i="2"/>
  <c r="H31" i="2" l="1"/>
  <c r="H146" i="2"/>
  <c r="J146" i="2" s="1"/>
  <c r="L147" i="2" s="1"/>
  <c r="Z114" i="2"/>
  <c r="P26" i="2"/>
  <c r="V23" i="2"/>
  <c r="H138" i="2"/>
  <c r="J138" i="2" s="1"/>
  <c r="L139" i="2" s="1"/>
  <c r="Q142" i="2"/>
  <c r="I138" i="2" s="1"/>
  <c r="S27" i="2"/>
  <c r="I27" i="2" s="1"/>
  <c r="H27" i="2"/>
  <c r="H25" i="2"/>
  <c r="L23" i="2"/>
  <c r="J25" i="2"/>
  <c r="L26" i="2" s="1"/>
  <c r="P135" i="2"/>
  <c r="V135" i="2" s="1"/>
  <c r="T229" i="2"/>
  <c r="S114" i="2"/>
  <c r="P19" i="2"/>
  <c r="T22" i="2"/>
  <c r="V22" i="2" s="1"/>
  <c r="P139" i="2"/>
  <c r="V139" i="2" s="1"/>
  <c r="X229" i="2"/>
  <c r="L29" i="2"/>
  <c r="P21" i="2"/>
  <c r="V21" i="2" s="1"/>
  <c r="Q25" i="2"/>
  <c r="V25" i="2" s="1"/>
  <c r="L141" i="2"/>
  <c r="L140" i="2"/>
  <c r="Y229" i="2"/>
  <c r="P140" i="2"/>
  <c r="V140" i="2" s="1"/>
  <c r="T141" i="2"/>
  <c r="T134" i="2"/>
  <c r="U138" i="2"/>
  <c r="T137" i="2"/>
  <c r="T138" i="2"/>
  <c r="V138" i="2" s="1"/>
  <c r="U136" i="2"/>
  <c r="V136" i="2" s="1"/>
  <c r="K34" i="2"/>
  <c r="L138" i="2"/>
  <c r="T139" i="2"/>
  <c r="L24" i="2"/>
  <c r="T114" i="2"/>
  <c r="T20" i="2"/>
  <c r="H3" i="2"/>
  <c r="R24" i="2"/>
  <c r="R27" i="2" s="1"/>
  <c r="I25" i="2" s="1"/>
  <c r="V114" i="2"/>
  <c r="U114" i="2"/>
  <c r="Z229" i="2"/>
  <c r="W229" i="2"/>
  <c r="U140" i="2"/>
  <c r="L136" i="2"/>
  <c r="L25" i="2"/>
  <c r="J31" i="2"/>
  <c r="L32" i="2" s="1"/>
  <c r="W114" i="2"/>
  <c r="V229" i="2"/>
  <c r="J27" i="2"/>
  <c r="L28" i="2" s="1"/>
  <c r="U25" i="2"/>
  <c r="U20" i="2"/>
  <c r="U27" i="2" s="1"/>
  <c r="I31" i="2" s="1"/>
  <c r="S136" i="2"/>
  <c r="S142" i="2" s="1"/>
  <c r="I142" i="2" s="1"/>
  <c r="U229" i="2"/>
  <c r="T135" i="2"/>
  <c r="T24" i="2"/>
  <c r="U21" i="2"/>
  <c r="U22" i="2"/>
  <c r="H136" i="2"/>
  <c r="J136" i="2" s="1"/>
  <c r="L137" i="2" s="1"/>
  <c r="L146" i="2"/>
  <c r="S137" i="2"/>
  <c r="V137" i="2" s="1"/>
  <c r="G136" i="2"/>
  <c r="K149" i="2"/>
  <c r="L148" i="2" s="1"/>
  <c r="T26" i="2"/>
  <c r="H29" i="2" s="1"/>
  <c r="J29" i="2" s="1"/>
  <c r="L30" i="2" s="1"/>
  <c r="U23" i="2"/>
  <c r="S229" i="2"/>
  <c r="G144" i="2"/>
  <c r="L144" i="2"/>
  <c r="P141" i="2"/>
  <c r="Q27" i="2" l="1"/>
  <c r="I23" i="2" s="1"/>
  <c r="U142" i="2"/>
  <c r="I146" i="2" s="1"/>
  <c r="AA229" i="2"/>
  <c r="T27" i="2"/>
  <c r="I29" i="2" s="1"/>
  <c r="T142" i="2"/>
  <c r="I144" i="2" s="1"/>
  <c r="H144" i="2"/>
  <c r="J144" i="2" s="1"/>
  <c r="L145" i="2" s="1"/>
  <c r="J149" i="2"/>
  <c r="V26" i="2"/>
  <c r="P142" i="2"/>
  <c r="P27" i="2"/>
  <c r="V19" i="2"/>
  <c r="H21" i="2"/>
  <c r="J21" i="2" s="1"/>
  <c r="V24" i="2"/>
  <c r="V20" i="2"/>
  <c r="V141" i="2"/>
  <c r="V134" i="2"/>
  <c r="AA114" i="2"/>
  <c r="V27" i="2" l="1"/>
  <c r="I21" i="2"/>
  <c r="I136" i="2"/>
  <c r="V142" i="2"/>
  <c r="J34" i="2"/>
  <c r="L33" i="2" s="1"/>
  <c r="G3" i="2"/>
  <c r="L21" i="2"/>
  <c r="L22" i="2"/>
</calcChain>
</file>

<file path=xl/sharedStrings.xml><?xml version="1.0" encoding="utf-8"?>
<sst xmlns="http://schemas.openxmlformats.org/spreadsheetml/2006/main" count="713" uniqueCount="177">
  <si>
    <t>Сменный отчет выпуска продукции</t>
  </si>
  <si>
    <t>Линия розлива № 2  - 0,25 л.</t>
  </si>
  <si>
    <t>Смена "Д" день с 08:00 по 20:00</t>
  </si>
  <si>
    <t>Сутки план/факт</t>
  </si>
  <si>
    <t>паспортная скорость</t>
  </si>
  <si>
    <t>Время смены</t>
  </si>
  <si>
    <t>плановые</t>
  </si>
  <si>
    <t>Должность</t>
  </si>
  <si>
    <t>ФИО ответственного</t>
  </si>
  <si>
    <t>Рабочее место оператора</t>
  </si>
  <si>
    <t>ФИО оператора</t>
  </si>
  <si>
    <t>Поля для заполнения</t>
  </si>
  <si>
    <t>производственные</t>
  </si>
  <si>
    <t>Начальник смены</t>
  </si>
  <si>
    <t>Шефов</t>
  </si>
  <si>
    <t>Оператор Депалитайзера</t>
  </si>
  <si>
    <t>Козлова</t>
  </si>
  <si>
    <t>ФИКСИРОВАННЫЕ ПОЛЯ, НЕ ЗАПОЛНЯТЬ</t>
  </si>
  <si>
    <t>технические</t>
  </si>
  <si>
    <t>Мастер</t>
  </si>
  <si>
    <t>Семина</t>
  </si>
  <si>
    <t>Оператор - наладчик</t>
  </si>
  <si>
    <t>Борняков</t>
  </si>
  <si>
    <t>технологические</t>
  </si>
  <si>
    <t>Контролер</t>
  </si>
  <si>
    <t>Никишова</t>
  </si>
  <si>
    <t>Оператор розлива Этикетка</t>
  </si>
  <si>
    <t>Меркулова</t>
  </si>
  <si>
    <t>ПОЛЯ ДЛЯ ЗАПОЛНЕНИЯ МАСТЕРОМ</t>
  </si>
  <si>
    <t>лабораторные</t>
  </si>
  <si>
    <t>Оператор розлива- упаковщик</t>
  </si>
  <si>
    <t>сырьевые</t>
  </si>
  <si>
    <t>Подсобник Сборка/ оператор упаковщик</t>
  </si>
  <si>
    <t>Шаруева</t>
  </si>
  <si>
    <t>логистические</t>
  </si>
  <si>
    <t>Алланазаров</t>
  </si>
  <si>
    <t>Подсобник - обмотчик</t>
  </si>
  <si>
    <t>Жумабоев</t>
  </si>
  <si>
    <t>ИТОГОВЫЙ РЕЗУЛЬТАТ РАБОТЫ СМЕНЫ (ВЫЧИСЛЯЕТСЯ АВТОМАТИЧЕСКИ)</t>
  </si>
  <si>
    <t>ПРОСТОИ (ВЫЧИСЛЯЕТСЯ АВТОМАТИЧЕСКИ)</t>
  </si>
  <si>
    <t>общезаводские</t>
  </si>
  <si>
    <t>НАИМЕНОВАНИЕ НАПИТКА</t>
  </si>
  <si>
    <t>Время начала производства</t>
  </si>
  <si>
    <t>Время окончания производства</t>
  </si>
  <si>
    <t>Время работы смены</t>
  </si>
  <si>
    <t>Плановая производительность</t>
  </si>
  <si>
    <t xml:space="preserve">Приведенное продуктивное время </t>
  </si>
  <si>
    <t>Эффективность от паспортной скорости %</t>
  </si>
  <si>
    <t>Вычитаемые простои (плановые, общезаводские)</t>
  </si>
  <si>
    <t>Условные простои (Необоснованные потери), мин</t>
  </si>
  <si>
    <t>Расчетная плановая производительность с учетом вычитаемых простоев</t>
  </si>
  <si>
    <t>Фактическая производительность за смену</t>
  </si>
  <si>
    <t>Выполнение сменного задания %, невыполнение -, перевыполнение +</t>
  </si>
  <si>
    <t>Вид Простоя</t>
  </si>
  <si>
    <t>Длительность, час</t>
  </si>
  <si>
    <t>Итого</t>
  </si>
  <si>
    <t>ПЛАНОВЫЕ</t>
  </si>
  <si>
    <t>[мин]</t>
  </si>
  <si>
    <t>[шт./час]</t>
  </si>
  <si>
    <t>[шт./смену]</t>
  </si>
  <si>
    <t>%</t>
  </si>
  <si>
    <t>ПРОИЗВОДСТВЕННЫЕ</t>
  </si>
  <si>
    <t>ТЕХНИЧЕСКИЕ</t>
  </si>
  <si>
    <t>ТЕХНОЛОГИЧЕСКИЕ</t>
  </si>
  <si>
    <t>ЛАБОРАТОРНЫЕ</t>
  </si>
  <si>
    <t>СЫРЬЕВЫЕ</t>
  </si>
  <si>
    <t>ЛОГИСТИЧЕСКИЕ</t>
  </si>
  <si>
    <t>ОБЩЕЗАВОДСКИЕ</t>
  </si>
  <si>
    <t>ИТОГО</t>
  </si>
  <si>
    <t>НАИМЕНОВАНИЕ И КОЛИЧЕСТВО ПРОИЗВЕДЕННОЙ ПРОДУКЦИИ (ЗАПОЛНЯЕТСЯ МАСТЕРОМ)</t>
  </si>
  <si>
    <t>Итого план</t>
  </si>
  <si>
    <t>Итого факт</t>
  </si>
  <si>
    <t>Наименование продукции, формат</t>
  </si>
  <si>
    <t>Выпуск по счетчику</t>
  </si>
  <si>
    <t>Сдано на склад ГП</t>
  </si>
  <si>
    <t>Средний коэффициент по смене</t>
  </si>
  <si>
    <t>Груша Джус</t>
  </si>
  <si>
    <t>ИТОГО СДАНО НА СКЛАД ПРОДУКЦИИ</t>
  </si>
  <si>
    <t>Время, час</t>
  </si>
  <si>
    <t>Объем производства, шт</t>
  </si>
  <si>
    <t>Автомат</t>
  </si>
  <si>
    <t>Описание простоя, причины</t>
  </si>
  <si>
    <t>Вид простоя</t>
  </si>
  <si>
    <t>Период простоя</t>
  </si>
  <si>
    <t>Время (мин)</t>
  </si>
  <si>
    <t>Корректирующие мероприятия</t>
  </si>
  <si>
    <t>Ответственный</t>
  </si>
  <si>
    <t>Сроки</t>
  </si>
  <si>
    <t>Статус выполнения</t>
  </si>
  <si>
    <t>ПРОСТОИ</t>
  </si>
  <si>
    <t>Начало</t>
  </si>
  <si>
    <t>Конец</t>
  </si>
  <si>
    <t xml:space="preserve">ПЛАНОВЫЕ </t>
  </si>
  <si>
    <t>Настройка ЧЗ</t>
  </si>
  <si>
    <t>Нет связи с сервером ОКТО, связывались со специалистом</t>
  </si>
  <si>
    <t>Остановка во время аудита</t>
  </si>
  <si>
    <t>смена этикетки (общие)</t>
  </si>
  <si>
    <t>смена пленки (общие)</t>
  </si>
  <si>
    <t>смена ЧЗ (общие)</t>
  </si>
  <si>
    <t xml:space="preserve">Линия розлива № 2  -  0,25 л. </t>
  </si>
  <si>
    <t>Смена "Н" ночь с 20:00 по 08:00</t>
  </si>
  <si>
    <t>Ахмедов</t>
  </si>
  <si>
    <t>Набиева</t>
  </si>
  <si>
    <t>Игнатова</t>
  </si>
  <si>
    <t>Ревякин</t>
  </si>
  <si>
    <t>Абрамова</t>
  </si>
  <si>
    <t>Костиков</t>
  </si>
  <si>
    <t>Иванов</t>
  </si>
  <si>
    <t>Стикера</t>
  </si>
  <si>
    <t>Сейдабулаева Х.</t>
  </si>
  <si>
    <t>Мухамедяев</t>
  </si>
  <si>
    <t>Линия розлива № 3  - 0,75 л. - 1,0 л.</t>
  </si>
  <si>
    <t>Мурлыкина Н</t>
  </si>
  <si>
    <t>Костылев К</t>
  </si>
  <si>
    <t xml:space="preserve"> Этикетка</t>
  </si>
  <si>
    <t>Ананьева</t>
  </si>
  <si>
    <t>наладчик</t>
  </si>
  <si>
    <t>Подсобник  сборка</t>
  </si>
  <si>
    <t>Мамодалиев</t>
  </si>
  <si>
    <t>Подсобник  обмотка</t>
  </si>
  <si>
    <t>Иннасери Имад</t>
  </si>
  <si>
    <t>Оператор  ( упаковка)</t>
  </si>
  <si>
    <t>Докукин</t>
  </si>
  <si>
    <t>Подсобник сборка</t>
  </si>
  <si>
    <t>Нуритдинов</t>
  </si>
  <si>
    <t>Подсобник-оклейка стикеров</t>
  </si>
  <si>
    <t>Халилова</t>
  </si>
  <si>
    <t>Тыква Гранде</t>
  </si>
  <si>
    <t>Смена этикетки (общее)</t>
  </si>
  <si>
    <t>Смена пленки (общее)</t>
  </si>
  <si>
    <t>Настройка ЧЗ (общее)</t>
  </si>
  <si>
    <t>бой на розливе (общие)</t>
  </si>
  <si>
    <t>Линия розлива № 3  -  0,75 л. - 1,0 л.</t>
  </si>
  <si>
    <t>Петелина</t>
  </si>
  <si>
    <t>Данелян</t>
  </si>
  <si>
    <t>Селуянова</t>
  </si>
  <si>
    <t>Шукуров</t>
  </si>
  <si>
    <t>Кенжебаев</t>
  </si>
  <si>
    <t>Кучкаров</t>
  </si>
  <si>
    <t>Сейдабулаева М.</t>
  </si>
  <si>
    <t>Линия розлива № 5 - Сиропы 0,25л. - 1,0 л.</t>
  </si>
  <si>
    <t>Саргсян</t>
  </si>
  <si>
    <t>Кучерова</t>
  </si>
  <si>
    <t>Савушкина</t>
  </si>
  <si>
    <t xml:space="preserve">Савушкин </t>
  </si>
  <si>
    <t>Тилепов</t>
  </si>
  <si>
    <t>Оператор наладчик ( упаковка)</t>
  </si>
  <si>
    <t>Аванесян</t>
  </si>
  <si>
    <t>Королькевич</t>
  </si>
  <si>
    <t>Сдано на склад гп</t>
  </si>
  <si>
    <t xml:space="preserve">Гренадин </t>
  </si>
  <si>
    <t>Кокос</t>
  </si>
  <si>
    <t>Мохито</t>
  </si>
  <si>
    <t>ИТОГО ПРОИЗВЕДЕНО ПРОДУКЦИИ</t>
  </si>
  <si>
    <t>настройка укупора (общие)</t>
  </si>
  <si>
    <t>регулировка</t>
  </si>
  <si>
    <t>вытеснение</t>
  </si>
  <si>
    <t>сип 2</t>
  </si>
  <si>
    <t>подача продукта</t>
  </si>
  <si>
    <t>проверка продукта лабораторией</t>
  </si>
  <si>
    <t>настройка упаковщика (общие)</t>
  </si>
  <si>
    <t>заминался лоток до клеевой станции, регулеровка</t>
  </si>
  <si>
    <t>сип 1</t>
  </si>
  <si>
    <t>ожидание купажа</t>
  </si>
  <si>
    <t>Не шел цвет, доводили купаж</t>
  </si>
  <si>
    <t>Лисицкая</t>
  </si>
  <si>
    <t>Колосова</t>
  </si>
  <si>
    <t>Волкова</t>
  </si>
  <si>
    <t>Сергеева</t>
  </si>
  <si>
    <t>Торебаев Н.</t>
  </si>
  <si>
    <t xml:space="preserve">Лянге </t>
  </si>
  <si>
    <t>Пердебаева</t>
  </si>
  <si>
    <t>Танирбергенов Д.</t>
  </si>
  <si>
    <t>Сергеев</t>
  </si>
  <si>
    <t>Сработка ручного короба</t>
  </si>
  <si>
    <t>Есболганов</t>
  </si>
  <si>
    <t>Есенов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</si>
</sst>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h:mm;@"/>
  </numFmts>
  <fonts count="18">
    <font>
      <sz val="11"/>
      <color theme="1"/>
      <name val="Arial"/>
      <family val="2"/>
      <charset val="204"/>
    </font>
    <font>
      <sz val="10"/>
      <name val="Arial Cyr"/>
      <charset val="204"/>
    </font>
    <font>
      <u/>
      <sz val="12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2"/>
      <name val="Arial Cyr"/>
      <charset val="204"/>
    </font>
    <font>
      <sz val="14"/>
      <color indexed="10"/>
      <name val="Arial Cyr"/>
      <charset val="204"/>
    </font>
    <font>
      <sz val="6"/>
      <name val="Arial Cyr"/>
      <charset val="204"/>
    </font>
    <font>
      <b/>
      <sz val="11"/>
      <name val="Arial Cyr"/>
      <charset val="204"/>
    </font>
    <font>
      <b/>
      <sz val="10"/>
      <name val="Arial Cyr"/>
      <charset val="204"/>
    </font>
    <font>
      <sz val="12"/>
      <color indexed="10"/>
      <name val="Arial Cyr"/>
      <charset val="204"/>
    </font>
    <font>
      <sz val="14"/>
      <name val="Arial Cyr"/>
      <charset val="204"/>
    </font>
    <font>
      <sz val="10"/>
      <color indexed="10"/>
      <name val="Arial Cyr"/>
      <charset val="204"/>
    </font>
    <font>
      <sz val="14"/>
      <name val="Arial CE"/>
      <family val="2"/>
      <charset val="238"/>
    </font>
    <font>
      <sz val="11"/>
      <name val="Arial CE"/>
      <family val="2"/>
      <charset val="238"/>
    </font>
    <font>
      <b/>
      <sz val="10"/>
      <name val="Arial CE"/>
      <charset val="204"/>
    </font>
    <font>
      <sz val="10"/>
      <name val="Arial CE"/>
      <charset val="204"/>
    </font>
    <font>
      <sz val="11"/>
      <color indexed="10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4.992828150273141E-2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70">
    <xf numFmtId="0" fontId="0" fillId="0" borderId="0" xfId="0"/>
    <xf numFmtId="0" fontId="2" fillId="0" borderId="0" xfId="1" applyFont="1" applyAlignment="1" applyProtection="1">
      <alignment horizontal="center"/>
      <protection locked="0"/>
    </xf>
    <xf numFmtId="0" fontId="2" fillId="0" borderId="0" xfId="1" applyFont="1" applyAlignment="1" applyProtection="1">
      <alignment horizontal="center"/>
      <protection locked="0"/>
    </xf>
    <xf numFmtId="0" fontId="1" fillId="0" borderId="0" xfId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/>
      <protection locked="0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14" fontId="5" fillId="2" borderId="1" xfId="1" applyNumberFormat="1" applyFont="1" applyFill="1" applyBorder="1"/>
    <xf numFmtId="1" fontId="5" fillId="2" borderId="1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6" fillId="3" borderId="5" xfId="1" applyFont="1" applyFill="1" applyBorder="1" applyAlignment="1" applyProtection="1">
      <alignment horizontal="center" vertical="center"/>
      <protection locked="0"/>
    </xf>
    <xf numFmtId="0" fontId="4" fillId="2" borderId="5" xfId="1" applyFont="1" applyFill="1" applyBorder="1" applyAlignment="1">
      <alignment horizontal="center" vertical="center"/>
    </xf>
    <xf numFmtId="0" fontId="7" fillId="2" borderId="6" xfId="1" applyFont="1" applyFill="1" applyBorder="1"/>
    <xf numFmtId="0" fontId="8" fillId="4" borderId="7" xfId="1" applyFont="1" applyFill="1" applyBorder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8" fillId="4" borderId="11" xfId="1" applyFont="1" applyFill="1" applyBorder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9" fillId="0" borderId="0" xfId="1" applyFont="1" applyProtection="1">
      <protection locked="0"/>
    </xf>
    <xf numFmtId="0" fontId="9" fillId="2" borderId="15" xfId="1" applyFont="1" applyFill="1" applyBorder="1" applyAlignment="1">
      <alignment horizontal="center"/>
    </xf>
    <xf numFmtId="0" fontId="9" fillId="2" borderId="16" xfId="1" applyFont="1" applyFill="1" applyBorder="1" applyAlignment="1">
      <alignment horizontal="center"/>
    </xf>
    <xf numFmtId="0" fontId="9" fillId="0" borderId="0" xfId="1" applyFont="1" applyAlignment="1" applyProtection="1">
      <alignment horizontal="center"/>
      <protection locked="0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4" borderId="18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1" fillId="2" borderId="19" xfId="1" applyFill="1" applyBorder="1" applyAlignment="1">
      <alignment horizontal="center"/>
    </xf>
    <xf numFmtId="0" fontId="1" fillId="2" borderId="20" xfId="1" applyFill="1" applyBorder="1" applyAlignment="1">
      <alignment horizontal="center" vertical="center"/>
    </xf>
    <xf numFmtId="0" fontId="1" fillId="2" borderId="21" xfId="1" applyFill="1" applyBorder="1" applyAlignment="1">
      <alignment horizontal="center" vertical="center"/>
    </xf>
    <xf numFmtId="0" fontId="1" fillId="2" borderId="21" xfId="1" applyFill="1" applyBorder="1" applyAlignment="1">
      <alignment horizontal="center" vertical="center"/>
    </xf>
    <xf numFmtId="0" fontId="9" fillId="0" borderId="0" xfId="1" applyFont="1" applyAlignment="1" applyProtection="1">
      <alignment horizontal="left"/>
      <protection locked="0"/>
    </xf>
    <xf numFmtId="0" fontId="1" fillId="2" borderId="22" xfId="1" applyFill="1" applyBorder="1" applyAlignment="1">
      <alignment horizontal="center"/>
    </xf>
    <xf numFmtId="0" fontId="1" fillId="2" borderId="23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1" fillId="5" borderId="19" xfId="1" applyFill="1" applyBorder="1" applyAlignment="1">
      <alignment horizontal="center"/>
    </xf>
    <xf numFmtId="0" fontId="1" fillId="2" borderId="24" xfId="1" applyFill="1" applyBorder="1" applyAlignment="1">
      <alignment horizontal="center" vertical="center"/>
    </xf>
    <xf numFmtId="0" fontId="1" fillId="2" borderId="24" xfId="1" applyFill="1" applyBorder="1" applyAlignment="1">
      <alignment horizontal="center" vertical="center"/>
    </xf>
    <xf numFmtId="0" fontId="1" fillId="5" borderId="25" xfId="1" applyFill="1" applyBorder="1" applyAlignment="1">
      <alignment horizontal="center"/>
    </xf>
    <xf numFmtId="0" fontId="1" fillId="2" borderId="26" xfId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2" borderId="27" xfId="1" applyFill="1" applyBorder="1" applyAlignment="1">
      <alignment horizontal="center" vertical="center"/>
    </xf>
    <xf numFmtId="0" fontId="1" fillId="2" borderId="27" xfId="1" applyFill="1" applyBorder="1" applyAlignment="1">
      <alignment horizontal="center" vertical="center"/>
    </xf>
    <xf numFmtId="0" fontId="1" fillId="0" borderId="0" xfId="1" applyAlignment="1" applyProtection="1">
      <alignment horizontal="left"/>
      <protection locked="0"/>
    </xf>
    <xf numFmtId="0" fontId="1" fillId="0" borderId="0" xfId="1" applyAlignment="1" applyProtection="1">
      <alignment horizontal="center"/>
      <protection locked="0"/>
    </xf>
    <xf numFmtId="0" fontId="1" fillId="0" borderId="0" xfId="1" applyAlignment="1" applyProtection="1">
      <alignment horizontal="center"/>
      <protection locked="0"/>
    </xf>
    <xf numFmtId="0" fontId="1" fillId="0" borderId="0" xfId="1" applyAlignment="1" applyProtection="1">
      <alignment horizontal="left"/>
      <protection locked="0"/>
    </xf>
    <xf numFmtId="0" fontId="9" fillId="2" borderId="1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1" fillId="2" borderId="18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17" xfId="1" applyFill="1" applyBorder="1" applyAlignment="1">
      <alignment horizontal="center" vertical="center"/>
    </xf>
    <xf numFmtId="0" fontId="3" fillId="2" borderId="28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/>
    </xf>
    <xf numFmtId="0" fontId="9" fillId="2" borderId="20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27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horizontal="center" vertical="center"/>
    </xf>
    <xf numFmtId="0" fontId="3" fillId="2" borderId="31" xfId="1" applyFont="1" applyFill="1" applyBorder="1" applyAlignment="1">
      <alignment horizontal="center" vertical="center" wrapText="1"/>
    </xf>
    <xf numFmtId="0" fontId="1" fillId="0" borderId="0" xfId="1" applyAlignment="1" applyProtection="1">
      <alignment vertical="center"/>
      <protection locked="0"/>
    </xf>
    <xf numFmtId="0" fontId="9" fillId="2" borderId="6" xfId="1" applyFont="1" applyFill="1" applyBorder="1" applyAlignment="1">
      <alignment horizontal="left"/>
    </xf>
    <xf numFmtId="2" fontId="1" fillId="2" borderId="6" xfId="1" applyNumberFormat="1" applyFill="1" applyBorder="1" applyAlignment="1">
      <alignment vertical="center"/>
    </xf>
    <xf numFmtId="2" fontId="9" fillId="2" borderId="6" xfId="1" applyNumberFormat="1" applyFont="1" applyFill="1" applyBorder="1"/>
    <xf numFmtId="0" fontId="3" fillId="2" borderId="32" xfId="1" applyFont="1" applyFill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center"/>
    </xf>
    <xf numFmtId="0" fontId="3" fillId="2" borderId="34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9" fillId="2" borderId="6" xfId="1" applyFont="1" applyFill="1" applyBorder="1" applyAlignment="1">
      <alignment horizontal="left"/>
    </xf>
    <xf numFmtId="20" fontId="10" fillId="3" borderId="28" xfId="1" applyNumberFormat="1" applyFont="1" applyFill="1" applyBorder="1" applyAlignment="1" applyProtection="1">
      <alignment horizontal="center" vertical="center" wrapText="1"/>
      <protection locked="0"/>
    </xf>
    <xf numFmtId="1" fontId="3" fillId="2" borderId="28" xfId="1" applyNumberFormat="1" applyFont="1" applyFill="1" applyBorder="1" applyAlignment="1">
      <alignment horizontal="center" vertical="center"/>
    </xf>
    <xf numFmtId="0" fontId="10" fillId="3" borderId="28" xfId="1" applyFont="1" applyFill="1" applyBorder="1" applyAlignment="1" applyProtection="1">
      <alignment horizontal="center" vertical="center"/>
      <protection locked="0"/>
    </xf>
    <xf numFmtId="164" fontId="3" fillId="2" borderId="28" xfId="1" applyNumberFormat="1" applyFont="1" applyFill="1" applyBorder="1" applyAlignment="1">
      <alignment horizontal="center" vertical="center"/>
    </xf>
    <xf numFmtId="164" fontId="11" fillId="2" borderId="28" xfId="1" applyNumberFormat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165" fontId="3" fillId="2" borderId="35" xfId="1" applyNumberFormat="1" applyFont="1" applyFill="1" applyBorder="1" applyAlignment="1">
      <alignment horizontal="center" vertical="center"/>
    </xf>
    <xf numFmtId="20" fontId="10" fillId="3" borderId="32" xfId="1" applyNumberFormat="1" applyFont="1" applyFill="1" applyBorder="1" applyAlignment="1" applyProtection="1">
      <alignment horizontal="center" vertical="center" wrapText="1"/>
      <protection locked="0"/>
    </xf>
    <xf numFmtId="1" fontId="3" fillId="2" borderId="32" xfId="1" applyNumberFormat="1" applyFont="1" applyFill="1" applyBorder="1" applyAlignment="1">
      <alignment horizontal="center" vertical="center"/>
    </xf>
    <xf numFmtId="0" fontId="10" fillId="3" borderId="32" xfId="1" applyFont="1" applyFill="1" applyBorder="1" applyAlignment="1" applyProtection="1">
      <alignment horizontal="center" vertical="center"/>
      <protection locked="0"/>
    </xf>
    <xf numFmtId="164" fontId="3" fillId="2" borderId="32" xfId="1" applyNumberFormat="1" applyFont="1" applyFill="1" applyBorder="1" applyAlignment="1">
      <alignment horizontal="center" vertical="center"/>
    </xf>
    <xf numFmtId="164" fontId="11" fillId="2" borderId="32" xfId="1" applyNumberFormat="1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3" fontId="3" fillId="2" borderId="35" xfId="1" applyNumberFormat="1" applyFont="1" applyFill="1" applyBorder="1" applyAlignment="1">
      <alignment horizontal="center" vertical="center"/>
    </xf>
    <xf numFmtId="165" fontId="3" fillId="2" borderId="31" xfId="1" applyNumberFormat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left" vertical="center"/>
    </xf>
    <xf numFmtId="0" fontId="9" fillId="2" borderId="6" xfId="1" applyFont="1" applyFill="1" applyBorder="1" applyAlignment="1">
      <alignment horizontal="left" vertical="center"/>
    </xf>
    <xf numFmtId="20" fontId="10" fillId="3" borderId="29" xfId="1" applyNumberFormat="1" applyFont="1" applyFill="1" applyBorder="1" applyAlignment="1" applyProtection="1">
      <alignment horizontal="center" vertical="center" wrapText="1"/>
      <protection locked="0"/>
    </xf>
    <xf numFmtId="1" fontId="3" fillId="2" borderId="29" xfId="1" applyNumberFormat="1" applyFont="1" applyFill="1" applyBorder="1" applyAlignment="1">
      <alignment horizontal="center" vertical="center"/>
    </xf>
    <xf numFmtId="0" fontId="10" fillId="3" borderId="29" xfId="1" applyFont="1" applyFill="1" applyBorder="1" applyAlignment="1" applyProtection="1">
      <alignment horizontal="center" vertical="center"/>
      <protection locked="0"/>
    </xf>
    <xf numFmtId="164" fontId="3" fillId="2" borderId="29" xfId="1" applyNumberFormat="1" applyFont="1" applyFill="1" applyBorder="1" applyAlignment="1">
      <alignment horizontal="center" vertical="center"/>
    </xf>
    <xf numFmtId="164" fontId="11" fillId="2" borderId="29" xfId="1" applyNumberFormat="1" applyFont="1" applyFill="1" applyBorder="1" applyAlignment="1">
      <alignment horizontal="center" vertical="center"/>
    </xf>
    <xf numFmtId="0" fontId="9" fillId="2" borderId="6" xfId="1" applyFont="1" applyFill="1" applyBorder="1"/>
    <xf numFmtId="0" fontId="3" fillId="2" borderId="37" xfId="1" applyFont="1" applyFill="1" applyBorder="1" applyAlignment="1">
      <alignment horizontal="center" vertical="center"/>
    </xf>
    <xf numFmtId="3" fontId="3" fillId="2" borderId="38" xfId="1" applyNumberFormat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39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165" fontId="5" fillId="2" borderId="35" xfId="1" applyNumberFormat="1" applyFont="1" applyFill="1" applyBorder="1" applyAlignment="1">
      <alignment horizontal="center" vertical="center"/>
    </xf>
    <xf numFmtId="0" fontId="1" fillId="3" borderId="0" xfId="1" applyFill="1" applyProtection="1">
      <protection locked="0"/>
    </xf>
    <xf numFmtId="0" fontId="1" fillId="3" borderId="0" xfId="1" applyFill="1" applyAlignment="1" applyProtection="1">
      <alignment horizontal="center"/>
      <protection locked="0"/>
    </xf>
    <xf numFmtId="0" fontId="9" fillId="2" borderId="40" xfId="1" applyFont="1" applyFill="1" applyBorder="1" applyAlignment="1">
      <alignment horizontal="center" vertical="center"/>
    </xf>
    <xf numFmtId="0" fontId="9" fillId="2" borderId="41" xfId="1" applyFont="1" applyFill="1" applyBorder="1" applyAlignment="1">
      <alignment horizontal="center" vertical="center"/>
    </xf>
    <xf numFmtId="1" fontId="9" fillId="2" borderId="6" xfId="1" applyNumberFormat="1" applyFont="1" applyFill="1" applyBorder="1" applyAlignment="1">
      <alignment horizontal="center" vertical="center"/>
    </xf>
    <xf numFmtId="165" fontId="5" fillId="2" borderId="33" xfId="1" applyNumberFormat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1" fillId="2" borderId="28" xfId="1" applyFill="1" applyBorder="1" applyAlignment="1">
      <alignment horizontal="center" vertical="center" wrapText="1"/>
    </xf>
    <xf numFmtId="0" fontId="1" fillId="2" borderId="7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1" fillId="2" borderId="42" xfId="1" applyFill="1" applyBorder="1" applyAlignment="1">
      <alignment vertical="center" wrapText="1"/>
    </xf>
    <xf numFmtId="0" fontId="1" fillId="2" borderId="29" xfId="1" applyFill="1" applyBorder="1" applyAlignment="1">
      <alignment horizontal="center" vertical="center" wrapText="1"/>
    </xf>
    <xf numFmtId="0" fontId="1" fillId="0" borderId="37" xfId="1" applyBorder="1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center" vertical="center" wrapText="1"/>
      <protection locked="0"/>
    </xf>
    <xf numFmtId="0" fontId="3" fillId="2" borderId="37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42" xfId="1" applyFont="1" applyFill="1" applyBorder="1" applyAlignment="1">
      <alignment horizontal="center" vertical="center" wrapText="1"/>
    </xf>
    <xf numFmtId="0" fontId="1" fillId="2" borderId="32" xfId="1" applyFill="1" applyBorder="1" applyAlignment="1">
      <alignment horizontal="center" vertical="center" wrapText="1"/>
    </xf>
    <xf numFmtId="0" fontId="1" fillId="2" borderId="36" xfId="1" applyFill="1" applyBorder="1" applyAlignment="1">
      <alignment vertical="center" wrapText="1"/>
    </xf>
    <xf numFmtId="0" fontId="1" fillId="2" borderId="40" xfId="1" applyFill="1" applyBorder="1" applyAlignment="1">
      <alignment vertical="center" wrapText="1"/>
    </xf>
    <xf numFmtId="0" fontId="1" fillId="2" borderId="43" xfId="1" applyFill="1" applyBorder="1" applyAlignment="1">
      <alignment vertical="center" wrapText="1"/>
    </xf>
    <xf numFmtId="0" fontId="1" fillId="2" borderId="31" xfId="1" applyFill="1" applyBorder="1" applyAlignment="1">
      <alignment horizontal="center" vertical="center" wrapText="1"/>
    </xf>
    <xf numFmtId="0" fontId="12" fillId="3" borderId="1" xfId="1" applyFont="1" applyFill="1" applyBorder="1" applyAlignment="1" applyProtection="1">
      <alignment horizontal="center"/>
      <protection locked="0"/>
    </xf>
    <xf numFmtId="0" fontId="12" fillId="3" borderId="2" xfId="1" applyFont="1" applyFill="1" applyBorder="1" applyAlignment="1" applyProtection="1">
      <alignment horizontal="center"/>
      <protection locked="0"/>
    </xf>
    <xf numFmtId="0" fontId="12" fillId="3" borderId="3" xfId="1" applyFont="1" applyFill="1" applyBorder="1" applyAlignment="1" applyProtection="1">
      <alignment horizontal="center"/>
      <protection locked="0"/>
    </xf>
    <xf numFmtId="0" fontId="12" fillId="3" borderId="44" xfId="1" applyFont="1" applyFill="1" applyBorder="1" applyAlignment="1" applyProtection="1">
      <alignment horizontal="center"/>
      <protection locked="0"/>
    </xf>
    <xf numFmtId="0" fontId="12" fillId="6" borderId="12" xfId="1" applyFont="1" applyFill="1" applyBorder="1" applyAlignment="1" applyProtection="1">
      <alignment horizontal="center"/>
      <protection locked="0"/>
    </xf>
    <xf numFmtId="0" fontId="1" fillId="3" borderId="31" xfId="1" applyFill="1" applyBorder="1" applyAlignment="1" applyProtection="1">
      <alignment horizontal="center"/>
      <protection locked="0"/>
    </xf>
    <xf numFmtId="0" fontId="1" fillId="3" borderId="22" xfId="1" applyFill="1" applyBorder="1" applyAlignment="1" applyProtection="1">
      <alignment horizontal="center"/>
      <protection locked="0"/>
    </xf>
    <xf numFmtId="0" fontId="1" fillId="3" borderId="30" xfId="1" applyFill="1" applyBorder="1" applyAlignment="1" applyProtection="1">
      <alignment horizontal="center"/>
      <protection locked="0"/>
    </xf>
    <xf numFmtId="3" fontId="3" fillId="2" borderId="6" xfId="1" applyNumberFormat="1" applyFont="1" applyFill="1" applyBorder="1" applyAlignment="1">
      <alignment horizontal="center" vertical="center"/>
    </xf>
    <xf numFmtId="0" fontId="10" fillId="3" borderId="12" xfId="1" applyFont="1" applyFill="1" applyBorder="1" applyAlignment="1" applyProtection="1">
      <alignment horizontal="center"/>
      <protection locked="0"/>
    </xf>
    <xf numFmtId="0" fontId="1" fillId="0" borderId="37" xfId="1" applyBorder="1" applyAlignment="1" applyProtection="1">
      <alignment horizontal="center"/>
      <protection locked="0"/>
    </xf>
    <xf numFmtId="0" fontId="12" fillId="6" borderId="44" xfId="1" applyFont="1" applyFill="1" applyBorder="1" applyAlignment="1" applyProtection="1">
      <alignment horizontal="center"/>
      <protection locked="0"/>
    </xf>
    <xf numFmtId="0" fontId="1" fillId="3" borderId="35" xfId="1" applyFill="1" applyBorder="1" applyAlignment="1" applyProtection="1">
      <alignment horizontal="center"/>
      <protection locked="0"/>
    </xf>
    <xf numFmtId="0" fontId="1" fillId="3" borderId="45" xfId="1" applyFill="1" applyBorder="1" applyAlignment="1" applyProtection="1">
      <alignment horizontal="center"/>
      <protection locked="0"/>
    </xf>
    <xf numFmtId="0" fontId="1" fillId="3" borderId="17" xfId="1" applyFill="1" applyBorder="1" applyAlignment="1" applyProtection="1">
      <alignment horizontal="center"/>
      <protection locked="0"/>
    </xf>
    <xf numFmtId="0" fontId="12" fillId="3" borderId="46" xfId="1" applyFont="1" applyFill="1" applyBorder="1" applyAlignment="1" applyProtection="1">
      <alignment horizontal="center"/>
      <protection locked="0"/>
    </xf>
    <xf numFmtId="0" fontId="12" fillId="3" borderId="10" xfId="1" applyFont="1" applyFill="1" applyBorder="1" applyAlignment="1" applyProtection="1">
      <alignment horizontal="center"/>
      <protection locked="0"/>
    </xf>
    <xf numFmtId="0" fontId="12" fillId="3" borderId="11" xfId="1" applyFont="1" applyFill="1" applyBorder="1" applyAlignment="1" applyProtection="1">
      <alignment horizontal="center"/>
      <protection locked="0"/>
    </xf>
    <xf numFmtId="0" fontId="12" fillId="3" borderId="12" xfId="1" applyFont="1" applyFill="1" applyBorder="1" applyAlignment="1" applyProtection="1">
      <alignment horizontal="center"/>
      <protection locked="0"/>
    </xf>
    <xf numFmtId="0" fontId="9" fillId="2" borderId="36" xfId="1" applyFont="1" applyFill="1" applyBorder="1" applyAlignment="1">
      <alignment horizontal="right"/>
    </xf>
    <xf numFmtId="0" fontId="9" fillId="2" borderId="40" xfId="1" applyFont="1" applyFill="1" applyBorder="1" applyAlignment="1">
      <alignment horizontal="right"/>
    </xf>
    <xf numFmtId="0" fontId="9" fillId="2" borderId="2" xfId="1" applyFont="1" applyFill="1" applyBorder="1" applyAlignment="1">
      <alignment horizontal="right"/>
    </xf>
    <xf numFmtId="0" fontId="9" fillId="2" borderId="3" xfId="1" applyFont="1" applyFill="1" applyBorder="1" applyAlignment="1">
      <alignment horizontal="right"/>
    </xf>
    <xf numFmtId="0" fontId="9" fillId="2" borderId="47" xfId="1" applyFont="1" applyFill="1" applyBorder="1" applyAlignment="1">
      <alignment horizontal="center" vertical="center"/>
    </xf>
    <xf numFmtId="0" fontId="1" fillId="0" borderId="37" xfId="1" applyBorder="1" applyProtection="1">
      <protection locked="0"/>
    </xf>
    <xf numFmtId="0" fontId="9" fillId="2" borderId="7" xfId="1" applyFont="1" applyFill="1" applyBorder="1" applyAlignment="1">
      <alignment horizontal="center" vertical="center" wrapText="1"/>
    </xf>
    <xf numFmtId="0" fontId="9" fillId="2" borderId="9" xfId="1" applyFont="1" applyFill="1" applyBorder="1" applyAlignment="1">
      <alignment horizontal="center" vertical="center" wrapText="1"/>
    </xf>
    <xf numFmtId="0" fontId="9" fillId="2" borderId="28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2" borderId="39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wrapText="1"/>
    </xf>
    <xf numFmtId="0" fontId="9" fillId="2" borderId="12" xfId="1" applyFont="1" applyFill="1" applyBorder="1" applyAlignment="1">
      <alignment horizont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36" xfId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center" vertical="center" wrapText="1"/>
    </xf>
    <xf numFmtId="0" fontId="9" fillId="2" borderId="32" xfId="1" applyFont="1" applyFill="1" applyBorder="1" applyAlignment="1">
      <alignment horizontal="center" vertical="center" wrapText="1"/>
    </xf>
    <xf numFmtId="0" fontId="9" fillId="2" borderId="42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27" xfId="1" applyFont="1" applyFill="1" applyBorder="1" applyAlignment="1">
      <alignment horizontal="center" vertical="center" wrapText="1"/>
    </xf>
    <xf numFmtId="0" fontId="9" fillId="2" borderId="29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wrapText="1"/>
    </xf>
    <xf numFmtId="0" fontId="9" fillId="2" borderId="48" xfId="1" applyFont="1" applyFill="1" applyBorder="1" applyAlignment="1">
      <alignment horizontal="center" wrapText="1"/>
    </xf>
    <xf numFmtId="0" fontId="9" fillId="2" borderId="40" xfId="1" applyFont="1" applyFill="1" applyBorder="1" applyAlignment="1">
      <alignment horizontal="center" vertical="center" wrapText="1"/>
    </xf>
    <xf numFmtId="0" fontId="9" fillId="2" borderId="41" xfId="1" applyFont="1" applyFill="1" applyBorder="1" applyAlignment="1">
      <alignment horizontal="center" vertical="center" wrapText="1"/>
    </xf>
    <xf numFmtId="0" fontId="9" fillId="7" borderId="32" xfId="1" applyFont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center" vertical="center" wrapText="1"/>
    </xf>
    <xf numFmtId="20" fontId="13" fillId="2" borderId="49" xfId="1" applyNumberFormat="1" applyFont="1" applyFill="1" applyBorder="1" applyAlignment="1">
      <alignment vertical="center" wrapText="1"/>
    </xf>
    <xf numFmtId="0" fontId="13" fillId="0" borderId="49" xfId="1" applyFont="1" applyBorder="1" applyAlignment="1" applyProtection="1">
      <alignment vertical="center" wrapText="1"/>
      <protection locked="0"/>
    </xf>
    <xf numFmtId="0" fontId="14" fillId="3" borderId="13" xfId="1" applyFont="1" applyFill="1" applyBorder="1" applyAlignment="1" applyProtection="1">
      <alignment horizontal="center" vertical="center" wrapText="1"/>
      <protection locked="0"/>
    </xf>
    <xf numFmtId="0" fontId="14" fillId="3" borderId="50" xfId="1" applyFont="1" applyFill="1" applyBorder="1" applyAlignment="1" applyProtection="1">
      <alignment horizontal="left" vertical="top" wrapText="1"/>
      <protection locked="0"/>
    </xf>
    <xf numFmtId="0" fontId="14" fillId="3" borderId="13" xfId="1" applyFont="1" applyFill="1" applyBorder="1" applyAlignment="1" applyProtection="1">
      <alignment horizontal="left" vertical="top" wrapText="1"/>
      <protection locked="0"/>
    </xf>
    <xf numFmtId="0" fontId="15" fillId="3" borderId="49" xfId="1" applyFont="1" applyFill="1" applyBorder="1" applyAlignment="1" applyProtection="1">
      <alignment horizontal="center" vertical="center" wrapText="1"/>
      <protection locked="0"/>
    </xf>
    <xf numFmtId="166" fontId="14" fillId="3" borderId="49" xfId="1" applyNumberFormat="1" applyFont="1" applyFill="1" applyBorder="1" applyAlignment="1" applyProtection="1">
      <alignment horizontal="center" vertical="center" wrapText="1"/>
      <protection locked="0"/>
    </xf>
    <xf numFmtId="0" fontId="4" fillId="2" borderId="49" xfId="1" applyFont="1" applyFill="1" applyBorder="1" applyAlignment="1">
      <alignment horizontal="center" vertical="center"/>
    </xf>
    <xf numFmtId="0" fontId="14" fillId="3" borderId="50" xfId="1" applyFont="1" applyFill="1" applyBorder="1" applyAlignment="1" applyProtection="1">
      <alignment horizontal="center" vertical="center" wrapText="1"/>
      <protection locked="0"/>
    </xf>
    <xf numFmtId="0" fontId="14" fillId="3" borderId="11" xfId="1" applyFont="1" applyFill="1" applyBorder="1" applyAlignment="1" applyProtection="1">
      <alignment horizontal="center" vertical="center" wrapText="1"/>
      <protection locked="0"/>
    </xf>
    <xf numFmtId="0" fontId="14" fillId="3" borderId="13" xfId="1" applyFont="1" applyFill="1" applyBorder="1" applyAlignment="1" applyProtection="1">
      <alignment horizontal="center" vertical="center" wrapText="1"/>
      <protection locked="0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4" fillId="3" borderId="12" xfId="1" applyFont="1" applyFill="1" applyBorder="1" applyAlignment="1" applyProtection="1">
      <alignment horizontal="center" vertical="center" wrapText="1"/>
      <protection locked="0"/>
    </xf>
    <xf numFmtId="2" fontId="1" fillId="7" borderId="31" xfId="1" applyNumberFormat="1" applyFill="1" applyBorder="1" applyAlignment="1">
      <alignment horizontal="center"/>
    </xf>
    <xf numFmtId="0" fontId="4" fillId="0" borderId="0" xfId="1" applyFont="1" applyAlignment="1" applyProtection="1">
      <alignment wrapText="1"/>
      <protection locked="0"/>
    </xf>
    <xf numFmtId="0" fontId="1" fillId="0" borderId="0" xfId="1" applyAlignment="1" applyProtection="1">
      <alignment wrapText="1"/>
      <protection locked="0"/>
    </xf>
    <xf numFmtId="0" fontId="13" fillId="2" borderId="37" xfId="1" applyFont="1" applyFill="1" applyBorder="1" applyAlignment="1">
      <alignment horizontal="center" vertical="center" wrapText="1"/>
    </xf>
    <xf numFmtId="20" fontId="13" fillId="2" borderId="6" xfId="1" applyNumberFormat="1" applyFont="1" applyFill="1" applyBorder="1" applyAlignment="1">
      <alignment vertical="center" wrapText="1"/>
    </xf>
    <xf numFmtId="0" fontId="13" fillId="0" borderId="6" xfId="1" applyFont="1" applyBorder="1" applyAlignment="1" applyProtection="1">
      <alignment vertical="center" wrapText="1"/>
      <protection locked="0"/>
    </xf>
    <xf numFmtId="0" fontId="14" fillId="3" borderId="30" xfId="1" applyFont="1" applyFill="1" applyBorder="1" applyAlignment="1" applyProtection="1">
      <alignment horizontal="center" vertical="center" wrapText="1"/>
      <protection locked="0"/>
    </xf>
    <xf numFmtId="0" fontId="14" fillId="3" borderId="18" xfId="1" applyFont="1" applyFill="1" applyBorder="1" applyAlignment="1" applyProtection="1">
      <alignment horizontal="left" vertical="top" wrapText="1"/>
      <protection locked="0"/>
    </xf>
    <xf numFmtId="0" fontId="14" fillId="3" borderId="17" xfId="1" applyFont="1" applyFill="1" applyBorder="1" applyAlignment="1" applyProtection="1">
      <alignment horizontal="left" vertical="top" wrapText="1"/>
      <protection locked="0"/>
    </xf>
    <xf numFmtId="166" fontId="14" fillId="3" borderId="6" xfId="1" applyNumberFormat="1" applyFont="1" applyFill="1" applyBorder="1" applyAlignment="1" applyProtection="1">
      <alignment horizontal="center" vertical="center" wrapText="1"/>
      <protection locked="0"/>
    </xf>
    <xf numFmtId="0" fontId="4" fillId="2" borderId="6" xfId="1" applyFont="1" applyFill="1" applyBorder="1" applyAlignment="1">
      <alignment horizontal="center" vertical="center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3" borderId="16" xfId="1" applyFont="1" applyFill="1" applyBorder="1" applyAlignment="1" applyProtection="1">
      <alignment horizontal="center" vertical="center" wrapText="1"/>
      <protection locked="0"/>
    </xf>
    <xf numFmtId="0" fontId="14" fillId="3" borderId="30" xfId="1" applyFont="1" applyFill="1" applyBorder="1" applyAlignment="1" applyProtection="1">
      <alignment horizontal="center" vertical="center" wrapText="1"/>
      <protection locked="0"/>
    </xf>
    <xf numFmtId="0" fontId="14" fillId="3" borderId="6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5" fillId="3" borderId="6" xfId="1" applyFont="1" applyFill="1" applyBorder="1" applyAlignment="1" applyProtection="1">
      <alignment horizontal="center" vertical="center" wrapText="1"/>
      <protection locked="0"/>
    </xf>
    <xf numFmtId="0" fontId="14" fillId="3" borderId="6" xfId="1" applyFont="1" applyFill="1" applyBorder="1" applyAlignment="1" applyProtection="1">
      <alignment horizontal="left" vertical="top" wrapText="1"/>
      <protection locked="0"/>
    </xf>
    <xf numFmtId="0" fontId="14" fillId="3" borderId="17" xfId="1" applyFont="1" applyFill="1" applyBorder="1" applyAlignment="1" applyProtection="1">
      <alignment horizontal="center" vertical="center" wrapText="1"/>
      <protection locked="0"/>
    </xf>
    <xf numFmtId="0" fontId="13" fillId="0" borderId="52" xfId="1" applyFont="1" applyBorder="1" applyAlignment="1" applyProtection="1">
      <alignment vertical="center" wrapText="1"/>
      <protection locked="0"/>
    </xf>
    <xf numFmtId="0" fontId="13" fillId="2" borderId="36" xfId="1" applyFont="1" applyFill="1" applyBorder="1" applyAlignment="1">
      <alignment horizontal="center" vertical="center" wrapText="1"/>
    </xf>
    <xf numFmtId="20" fontId="13" fillId="2" borderId="53" xfId="1" applyNumberFormat="1" applyFont="1" applyFill="1" applyBorder="1" applyAlignment="1">
      <alignment vertical="center" wrapText="1"/>
    </xf>
    <xf numFmtId="20" fontId="13" fillId="2" borderId="54" xfId="1" applyNumberFormat="1" applyFont="1" applyFill="1" applyBorder="1" applyAlignment="1">
      <alignment vertical="center" wrapText="1"/>
    </xf>
    <xf numFmtId="0" fontId="14" fillId="3" borderId="55" xfId="1" applyFont="1" applyFill="1" applyBorder="1" applyAlignment="1" applyProtection="1">
      <alignment horizontal="center" vertical="center" wrapText="1"/>
      <protection locked="0"/>
    </xf>
    <xf numFmtId="0" fontId="14" fillId="3" borderId="53" xfId="1" applyFont="1" applyFill="1" applyBorder="1" applyAlignment="1" applyProtection="1">
      <alignment horizontal="left" vertical="top" wrapText="1"/>
      <protection locked="0"/>
    </xf>
    <xf numFmtId="166" fontId="14" fillId="3" borderId="53" xfId="1" applyNumberFormat="1" applyFont="1" applyFill="1" applyBorder="1" applyAlignment="1" applyProtection="1">
      <alignment horizontal="center" vertical="center" wrapText="1"/>
      <protection locked="0"/>
    </xf>
    <xf numFmtId="0" fontId="4" fillId="2" borderId="53" xfId="1" applyFont="1" applyFill="1" applyBorder="1" applyAlignment="1">
      <alignment horizontal="center" vertical="center"/>
    </xf>
    <xf numFmtId="0" fontId="14" fillId="3" borderId="56" xfId="1" applyFont="1" applyFill="1" applyBorder="1" applyAlignment="1" applyProtection="1">
      <alignment horizontal="center" vertical="center" wrapText="1"/>
      <protection locked="0"/>
    </xf>
    <xf numFmtId="0" fontId="14" fillId="3" borderId="40" xfId="1" applyFont="1" applyFill="1" applyBorder="1" applyAlignment="1" applyProtection="1">
      <alignment horizontal="center" vertical="center" wrapText="1"/>
      <protection locked="0"/>
    </xf>
    <xf numFmtId="0" fontId="14" fillId="3" borderId="41" xfId="1" applyFont="1" applyFill="1" applyBorder="1" applyAlignment="1" applyProtection="1">
      <alignment horizontal="center" vertical="center" wrapText="1"/>
      <protection locked="0"/>
    </xf>
    <xf numFmtId="0" fontId="14" fillId="3" borderId="41" xfId="1" applyFont="1" applyFill="1" applyBorder="1" applyAlignment="1" applyProtection="1">
      <alignment horizontal="center" vertical="center" wrapText="1"/>
      <protection locked="0"/>
    </xf>
    <xf numFmtId="0" fontId="14" fillId="3" borderId="43" xfId="1" applyFont="1" applyFill="1" applyBorder="1" applyAlignment="1" applyProtection="1">
      <alignment horizontal="center" vertical="center" wrapText="1"/>
      <protection locked="0"/>
    </xf>
    <xf numFmtId="0" fontId="13" fillId="0" borderId="53" xfId="1" applyFont="1" applyBorder="1" applyAlignment="1" applyProtection="1">
      <alignment vertical="center" wrapText="1"/>
      <protection locked="0"/>
    </xf>
    <xf numFmtId="0" fontId="15" fillId="3" borderId="53" xfId="1" applyFont="1" applyFill="1" applyBorder="1" applyAlignment="1" applyProtection="1">
      <alignment horizontal="center" vertical="center" wrapText="1"/>
      <protection locked="0"/>
    </xf>
    <xf numFmtId="0" fontId="13" fillId="2" borderId="37" xfId="1" applyFont="1" applyFill="1" applyBorder="1" applyAlignment="1" applyProtection="1">
      <alignment horizontal="center" vertical="center" wrapText="1"/>
      <protection locked="0"/>
    </xf>
    <xf numFmtId="0" fontId="13" fillId="2" borderId="57" xfId="1" applyFont="1" applyFill="1" applyBorder="1" applyAlignment="1" applyProtection="1">
      <alignment vertical="center" wrapText="1"/>
      <protection locked="0"/>
    </xf>
    <xf numFmtId="0" fontId="14" fillId="3" borderId="57" xfId="1" applyFont="1" applyFill="1" applyBorder="1" applyAlignment="1" applyProtection="1">
      <alignment vertical="center" wrapText="1"/>
      <protection locked="0"/>
    </xf>
    <xf numFmtId="0" fontId="14" fillId="3" borderId="57" xfId="1" applyFont="1" applyFill="1" applyBorder="1" applyAlignment="1" applyProtection="1">
      <alignment horizontal="left" vertical="center" wrapText="1"/>
      <protection locked="0"/>
    </xf>
    <xf numFmtId="0" fontId="15" fillId="3" borderId="57" xfId="1" applyFont="1" applyFill="1" applyBorder="1" applyAlignment="1" applyProtection="1">
      <alignment horizontal="center" vertical="center" wrapText="1"/>
      <protection locked="0"/>
    </xf>
    <xf numFmtId="166" fontId="14" fillId="3" borderId="57" xfId="1" applyNumberFormat="1" applyFont="1" applyFill="1" applyBorder="1" applyAlignment="1" applyProtection="1">
      <alignment horizontal="center" vertical="center" wrapText="1"/>
      <protection locked="0"/>
    </xf>
    <xf numFmtId="0" fontId="4" fillId="2" borderId="57" xfId="1" applyFont="1" applyFill="1" applyBorder="1" applyAlignment="1" applyProtection="1">
      <alignment horizontal="center" vertical="center"/>
      <protection locked="0"/>
    </xf>
    <xf numFmtId="0" fontId="4" fillId="3" borderId="57" xfId="1" applyFont="1" applyFill="1" applyBorder="1" applyAlignment="1" applyProtection="1">
      <alignment vertical="center" wrapText="1"/>
      <protection locked="0"/>
    </xf>
    <xf numFmtId="14" fontId="4" fillId="3" borderId="57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58" xfId="1" applyFont="1" applyFill="1" applyBorder="1" applyAlignment="1" applyProtection="1">
      <alignment horizontal="center" vertical="center" wrapText="1"/>
      <protection locked="0"/>
    </xf>
    <xf numFmtId="0" fontId="13" fillId="2" borderId="6" xfId="1" applyFont="1" applyFill="1" applyBorder="1" applyAlignment="1" applyProtection="1">
      <alignment vertical="center" wrapText="1"/>
      <protection locked="0"/>
    </xf>
    <xf numFmtId="0" fontId="14" fillId="3" borderId="6" xfId="1" applyFont="1" applyFill="1" applyBorder="1" applyAlignment="1" applyProtection="1">
      <alignment vertical="center" wrapText="1"/>
      <protection locked="0"/>
    </xf>
    <xf numFmtId="0" fontId="14" fillId="3" borderId="6" xfId="1" applyFont="1" applyFill="1" applyBorder="1" applyAlignment="1" applyProtection="1">
      <alignment horizontal="left" vertical="center" wrapText="1"/>
      <protection locked="0"/>
    </xf>
    <xf numFmtId="0" fontId="4" fillId="2" borderId="6" xfId="1" applyFont="1" applyFill="1" applyBorder="1" applyAlignment="1" applyProtection="1">
      <alignment horizontal="center" vertical="center"/>
      <protection locked="0"/>
    </xf>
    <xf numFmtId="0" fontId="4" fillId="3" borderId="6" xfId="1" applyFont="1" applyFill="1" applyBorder="1" applyAlignment="1" applyProtection="1">
      <alignment vertical="center" wrapText="1"/>
      <protection locked="0"/>
    </xf>
    <xf numFmtId="14" fontId="4" fillId="3" borderId="6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59" xfId="1" applyFont="1" applyFill="1" applyBorder="1" applyAlignment="1" applyProtection="1">
      <alignment horizontal="center" vertical="center" wrapText="1"/>
      <protection locked="0"/>
    </xf>
    <xf numFmtId="0" fontId="16" fillId="3" borderId="6" xfId="1" applyFont="1" applyFill="1" applyBorder="1" applyAlignment="1" applyProtection="1">
      <alignment horizontal="left" vertical="center" wrapText="1"/>
      <protection locked="0"/>
    </xf>
    <xf numFmtId="0" fontId="13" fillId="2" borderId="36" xfId="1" applyFont="1" applyFill="1" applyBorder="1" applyAlignment="1" applyProtection="1">
      <alignment horizontal="center" vertical="center" wrapText="1"/>
      <protection locked="0"/>
    </xf>
    <xf numFmtId="0" fontId="13" fillId="2" borderId="7" xfId="1" applyFont="1" applyFill="1" applyBorder="1" applyAlignment="1" applyProtection="1">
      <alignment horizontal="center" vertical="center" wrapText="1"/>
      <protection locked="0"/>
    </xf>
    <xf numFmtId="0" fontId="14" fillId="8" borderId="49" xfId="1" applyFont="1" applyFill="1" applyBorder="1" applyAlignment="1" applyProtection="1">
      <alignment vertical="center" wrapText="1"/>
      <protection locked="0"/>
    </xf>
    <xf numFmtId="0" fontId="14" fillId="8" borderId="49" xfId="1" applyFont="1" applyFill="1" applyBorder="1" applyAlignment="1" applyProtection="1">
      <alignment horizontal="left" vertical="center" wrapText="1"/>
      <protection locked="0"/>
    </xf>
    <xf numFmtId="0" fontId="15" fillId="8" borderId="49" xfId="1" applyFont="1" applyFill="1" applyBorder="1" applyAlignment="1" applyProtection="1">
      <alignment horizontal="center" vertical="center" wrapText="1"/>
      <protection locked="0"/>
    </xf>
    <xf numFmtId="166" fontId="14" fillId="8" borderId="49" xfId="1" applyNumberFormat="1" applyFont="1" applyFill="1" applyBorder="1" applyAlignment="1" applyProtection="1">
      <alignment horizontal="center" vertical="center" wrapText="1"/>
      <protection locked="0"/>
    </xf>
    <xf numFmtId="0" fontId="4" fillId="2" borderId="49" xfId="1" applyFont="1" applyFill="1" applyBorder="1" applyAlignment="1" applyProtection="1">
      <alignment horizontal="center" vertical="center"/>
      <protection locked="0"/>
    </xf>
    <xf numFmtId="0" fontId="4" fillId="8" borderId="49" xfId="1" applyFont="1" applyFill="1" applyBorder="1" applyAlignment="1" applyProtection="1">
      <alignment vertical="center" wrapText="1"/>
      <protection locked="0"/>
    </xf>
    <xf numFmtId="14" fontId="4" fillId="8" borderId="49" xfId="1" applyNumberFormat="1" applyFont="1" applyFill="1" applyBorder="1" applyAlignment="1" applyProtection="1">
      <alignment horizontal="center" vertical="center" wrapText="1"/>
      <protection locked="0"/>
    </xf>
    <xf numFmtId="0" fontId="4" fillId="8" borderId="60" xfId="1" applyFont="1" applyFill="1" applyBorder="1" applyAlignment="1" applyProtection="1">
      <alignment horizontal="center" vertical="center" wrapText="1"/>
      <protection locked="0"/>
    </xf>
    <xf numFmtId="0" fontId="14" fillId="8" borderId="6" xfId="1" applyFont="1" applyFill="1" applyBorder="1" applyAlignment="1" applyProtection="1">
      <alignment vertical="center" wrapText="1"/>
      <protection locked="0"/>
    </xf>
    <xf numFmtId="0" fontId="14" fillId="8" borderId="6" xfId="1" applyFont="1" applyFill="1" applyBorder="1" applyAlignment="1" applyProtection="1">
      <alignment horizontal="left" vertical="center" wrapText="1"/>
      <protection locked="0"/>
    </xf>
    <xf numFmtId="0" fontId="15" fillId="8" borderId="6" xfId="1" applyFont="1" applyFill="1" applyBorder="1" applyAlignment="1" applyProtection="1">
      <alignment horizontal="center" vertical="center" wrapText="1"/>
      <protection locked="0"/>
    </xf>
    <xf numFmtId="166" fontId="14" fillId="8" borderId="6" xfId="1" applyNumberFormat="1" applyFont="1" applyFill="1" applyBorder="1" applyAlignment="1" applyProtection="1">
      <alignment horizontal="center" vertical="center" wrapText="1"/>
      <protection locked="0"/>
    </xf>
    <xf numFmtId="0" fontId="4" fillId="8" borderId="6" xfId="1" applyFont="1" applyFill="1" applyBorder="1" applyAlignment="1" applyProtection="1">
      <alignment vertical="center" wrapText="1"/>
      <protection locked="0"/>
    </xf>
    <xf numFmtId="14" fontId="4" fillId="8" borderId="6" xfId="1" applyNumberFormat="1" applyFont="1" applyFill="1" applyBorder="1" applyAlignment="1" applyProtection="1">
      <alignment horizontal="center" vertical="center" wrapText="1"/>
      <protection locked="0"/>
    </xf>
    <xf numFmtId="0" fontId="4" fillId="8" borderId="59" xfId="1" applyFont="1" applyFill="1" applyBorder="1" applyAlignment="1" applyProtection="1">
      <alignment horizontal="center" vertical="center" wrapText="1"/>
      <protection locked="0"/>
    </xf>
    <xf numFmtId="0" fontId="16" fillId="8" borderId="6" xfId="1" applyFont="1" applyFill="1" applyBorder="1" applyAlignment="1" applyProtection="1">
      <alignment horizontal="left" vertical="center" wrapText="1"/>
      <protection locked="0"/>
    </xf>
    <xf numFmtId="2" fontId="9" fillId="7" borderId="47" xfId="1" applyNumberFormat="1" applyFont="1" applyFill="1" applyBorder="1" applyAlignment="1">
      <alignment horizontal="center" vertical="center"/>
    </xf>
    <xf numFmtId="2" fontId="9" fillId="2" borderId="47" xfId="1" applyNumberFormat="1" applyFont="1" applyFill="1" applyBorder="1" applyAlignment="1">
      <alignment horizontal="center" vertical="center"/>
    </xf>
    <xf numFmtId="14" fontId="5" fillId="2" borderId="1" xfId="1" applyNumberFormat="1" applyFont="1" applyFill="1" applyBorder="1" applyAlignment="1">
      <alignment horizontal="center"/>
    </xf>
    <xf numFmtId="14" fontId="5" fillId="2" borderId="2" xfId="1" applyNumberFormat="1" applyFont="1" applyFill="1" applyBorder="1" applyAlignment="1">
      <alignment horizontal="center"/>
    </xf>
    <xf numFmtId="14" fontId="5" fillId="2" borderId="3" xfId="1" applyNumberFormat="1" applyFont="1" applyFill="1" applyBorder="1" applyAlignment="1">
      <alignment horizontal="center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7" fillId="3" borderId="18" xfId="1" applyFont="1" applyFill="1" applyBorder="1" applyAlignment="1" applyProtection="1">
      <alignment horizontal="center" vertical="center"/>
      <protection locked="0"/>
    </xf>
    <xf numFmtId="0" fontId="17" fillId="3" borderId="17" xfId="1" applyFont="1" applyFill="1" applyBorder="1" applyAlignment="1" applyProtection="1">
      <alignment horizontal="center" vertical="center"/>
      <protection locked="0"/>
    </xf>
    <xf numFmtId="0" fontId="1" fillId="0" borderId="0" xfId="1" applyAlignment="1">
      <alignment horizontal="left"/>
    </xf>
    <xf numFmtId="0" fontId="3" fillId="2" borderId="28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/>
    </xf>
    <xf numFmtId="0" fontId="12" fillId="3" borderId="61" xfId="1" applyFont="1" applyFill="1" applyBorder="1" applyAlignment="1" applyProtection="1">
      <alignment horizontal="center"/>
      <protection locked="0"/>
    </xf>
    <xf numFmtId="0" fontId="12" fillId="3" borderId="49" xfId="1" applyFont="1" applyFill="1" applyBorder="1" applyAlignment="1" applyProtection="1">
      <alignment horizontal="center"/>
      <protection locked="0"/>
    </xf>
    <xf numFmtId="0" fontId="12" fillId="3" borderId="60" xfId="1" applyFont="1" applyFill="1" applyBorder="1" applyAlignment="1" applyProtection="1">
      <alignment horizontal="center"/>
      <protection locked="0"/>
    </xf>
    <xf numFmtId="0" fontId="12" fillId="6" borderId="46" xfId="1" applyFont="1" applyFill="1" applyBorder="1" applyAlignment="1" applyProtection="1">
      <alignment horizontal="center"/>
      <protection locked="0"/>
    </xf>
    <xf numFmtId="0" fontId="14" fillId="3" borderId="27" xfId="1" applyFont="1" applyFill="1" applyBorder="1" applyAlignment="1" applyProtection="1">
      <alignment horizontal="center" vertical="center" wrapText="1"/>
      <protection locked="0"/>
    </xf>
    <xf numFmtId="0" fontId="4" fillId="2" borderId="7" xfId="1" applyFont="1" applyFill="1" applyBorder="1" applyAlignment="1">
      <alignment horizontal="left"/>
    </xf>
    <xf numFmtId="0" fontId="4" fillId="2" borderId="8" xfId="1" applyFont="1" applyFill="1" applyBorder="1" applyAlignment="1">
      <alignment horizontal="left"/>
    </xf>
    <xf numFmtId="0" fontId="4" fillId="2" borderId="9" xfId="1" applyFont="1" applyFill="1" applyBorder="1" applyAlignment="1">
      <alignment horizontal="left"/>
    </xf>
    <xf numFmtId="14" fontId="5" fillId="2" borderId="7" xfId="1" applyNumberFormat="1" applyFont="1" applyFill="1" applyBorder="1"/>
    <xf numFmtId="1" fontId="5" fillId="2" borderId="7" xfId="1" applyNumberFormat="1" applyFont="1" applyFill="1" applyBorder="1" applyAlignment="1">
      <alignment horizontal="center" vertical="center"/>
    </xf>
    <xf numFmtId="0" fontId="4" fillId="2" borderId="62" xfId="1" applyFont="1" applyFill="1" applyBorder="1" applyAlignment="1">
      <alignment horizontal="center" vertical="center"/>
    </xf>
    <xf numFmtId="0" fontId="6" fillId="3" borderId="21" xfId="1" applyFont="1" applyFill="1" applyBorder="1" applyAlignment="1" applyProtection="1">
      <alignment horizontal="center" vertical="center"/>
      <protection locked="0"/>
    </xf>
    <xf numFmtId="0" fontId="4" fillId="2" borderId="21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17" fillId="3" borderId="6" xfId="1" applyFont="1" applyFill="1" applyBorder="1" applyAlignment="1" applyProtection="1">
      <alignment horizontal="center" vertical="center"/>
      <protection locked="0"/>
    </xf>
    <xf numFmtId="0" fontId="4" fillId="2" borderId="6" xfId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horizontal="center"/>
    </xf>
    <xf numFmtId="0" fontId="9" fillId="2" borderId="40" xfId="1" applyFont="1" applyFill="1" applyBorder="1" applyAlignment="1">
      <alignment horizontal="center"/>
    </xf>
    <xf numFmtId="0" fontId="9" fillId="2" borderId="43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2" borderId="10" xfId="1" applyFont="1" applyFill="1" applyBorder="1" applyAlignment="1">
      <alignment horizontal="center" vertical="center"/>
    </xf>
    <xf numFmtId="0" fontId="6" fillId="6" borderId="47" xfId="1" applyFont="1" applyFill="1" applyBorder="1" applyAlignment="1" applyProtection="1">
      <alignment horizontal="center" vertical="center"/>
      <protection locked="0"/>
    </xf>
    <xf numFmtId="0" fontId="4" fillId="2" borderId="11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9" fillId="0" borderId="0" xfId="1" applyFont="1"/>
    <xf numFmtId="0" fontId="9" fillId="2" borderId="10" xfId="1" applyFont="1" applyFill="1" applyBorder="1" applyAlignment="1">
      <alignment horizontal="center"/>
    </xf>
    <xf numFmtId="0" fontId="9" fillId="2" borderId="11" xfId="1" applyFont="1" applyFill="1" applyBorder="1" applyAlignment="1">
      <alignment horizontal="center"/>
    </xf>
    <xf numFmtId="0" fontId="9" fillId="2" borderId="12" xfId="1" applyFont="1" applyFill="1" applyBorder="1" applyAlignment="1">
      <alignment horizontal="center"/>
    </xf>
    <xf numFmtId="0" fontId="9" fillId="0" borderId="0" xfId="1" applyFont="1" applyAlignment="1">
      <alignment horizontal="center"/>
    </xf>
    <xf numFmtId="0" fontId="1" fillId="2" borderId="63" xfId="1" applyFill="1" applyBorder="1" applyAlignment="1">
      <alignment horizontal="center" vertical="center"/>
    </xf>
    <xf numFmtId="0" fontId="9" fillId="0" borderId="0" xfId="1" applyFont="1" applyAlignment="1">
      <alignment horizontal="left"/>
    </xf>
    <xf numFmtId="0" fontId="1" fillId="2" borderId="51" xfId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1" fillId="5" borderId="64" xfId="1" applyFill="1" applyBorder="1" applyAlignment="1">
      <alignment horizontal="center"/>
    </xf>
    <xf numFmtId="0" fontId="1" fillId="2" borderId="56" xfId="1" applyFill="1" applyBorder="1" applyAlignment="1">
      <alignment horizontal="center" vertical="center"/>
    </xf>
    <xf numFmtId="0" fontId="1" fillId="2" borderId="40" xfId="1" applyFill="1" applyBorder="1" applyAlignment="1">
      <alignment horizontal="center" vertical="center"/>
    </xf>
    <xf numFmtId="0" fontId="1" fillId="2" borderId="41" xfId="1" applyFill="1" applyBorder="1" applyAlignment="1">
      <alignment horizontal="center" vertical="center"/>
    </xf>
    <xf numFmtId="0" fontId="1" fillId="2" borderId="41" xfId="1" applyFill="1" applyBorder="1" applyAlignment="1">
      <alignment horizontal="center" vertical="center"/>
    </xf>
    <xf numFmtId="0" fontId="1" fillId="2" borderId="43" xfId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3" fillId="2" borderId="9" xfId="1" applyFont="1" applyFill="1" applyBorder="1" applyAlignment="1">
      <alignment horizontal="center"/>
    </xf>
    <xf numFmtId="165" fontId="3" fillId="2" borderId="46" xfId="1" applyNumberFormat="1" applyFont="1" applyFill="1" applyBorder="1" applyAlignment="1">
      <alignment horizontal="center" vertical="center"/>
    </xf>
    <xf numFmtId="3" fontId="3" fillId="2" borderId="46" xfId="1" applyNumberFormat="1" applyFont="1" applyFill="1" applyBorder="1" applyAlignment="1">
      <alignment horizontal="center" vertical="center"/>
    </xf>
    <xf numFmtId="165" fontId="3" fillId="2" borderId="51" xfId="1" applyNumberFormat="1" applyFont="1" applyFill="1" applyBorder="1" applyAlignment="1">
      <alignment horizontal="center" vertical="center"/>
    </xf>
    <xf numFmtId="3" fontId="3" fillId="2" borderId="65" xfId="1" applyNumberFormat="1" applyFont="1" applyFill="1" applyBorder="1" applyAlignment="1">
      <alignment horizontal="center" vertical="center"/>
    </xf>
    <xf numFmtId="0" fontId="1" fillId="3" borderId="0" xfId="1" applyFill="1"/>
    <xf numFmtId="0" fontId="1" fillId="3" borderId="0" xfId="1" applyFill="1" applyAlignment="1">
      <alignment horizontal="center"/>
    </xf>
    <xf numFmtId="0" fontId="1" fillId="2" borderId="8" xfId="1" applyFill="1" applyBorder="1" applyAlignment="1">
      <alignment vertical="center" wrapText="1"/>
    </xf>
    <xf numFmtId="0" fontId="1" fillId="2" borderId="9" xfId="1" applyFill="1" applyBorder="1" applyAlignment="1">
      <alignment vertical="center" wrapText="1"/>
    </xf>
    <xf numFmtId="0" fontId="1" fillId="0" borderId="37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2" borderId="37" xfId="1" applyFill="1" applyBorder="1" applyAlignment="1">
      <alignment vertical="center" wrapText="1"/>
    </xf>
    <xf numFmtId="0" fontId="12" fillId="3" borderId="44" xfId="1" applyFont="1" applyFill="1" applyBorder="1" applyAlignment="1">
      <alignment horizontal="center"/>
    </xf>
    <xf numFmtId="0" fontId="1" fillId="3" borderId="44" xfId="1" applyFill="1" applyBorder="1" applyAlignment="1">
      <alignment horizontal="center"/>
    </xf>
    <xf numFmtId="0" fontId="1" fillId="3" borderId="61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3" fontId="3" fillId="2" borderId="49" xfId="1" applyNumberFormat="1" applyFont="1" applyFill="1" applyBorder="1" applyAlignment="1">
      <alignment horizontal="center" vertical="center"/>
    </xf>
    <xf numFmtId="0" fontId="10" fillId="3" borderId="12" xfId="1" applyFont="1" applyFill="1" applyBorder="1" applyAlignment="1">
      <alignment horizontal="center"/>
    </xf>
    <xf numFmtId="0" fontId="1" fillId="0" borderId="37" xfId="1" applyBorder="1" applyAlignment="1">
      <alignment horizontal="center"/>
    </xf>
    <xf numFmtId="0" fontId="12" fillId="3" borderId="35" xfId="1" applyFont="1" applyFill="1" applyBorder="1" applyAlignment="1">
      <alignment horizontal="center"/>
    </xf>
    <xf numFmtId="0" fontId="1" fillId="3" borderId="35" xfId="1" applyFill="1" applyBorder="1" applyAlignment="1">
      <alignment horizontal="center"/>
    </xf>
    <xf numFmtId="0" fontId="1" fillId="3" borderId="45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12" fillId="3" borderId="46" xfId="1" applyFont="1" applyFill="1" applyBorder="1" applyAlignment="1">
      <alignment horizontal="center"/>
    </xf>
    <xf numFmtId="0" fontId="12" fillId="3" borderId="33" xfId="1" applyFont="1" applyFill="1" applyBorder="1" applyAlignment="1">
      <alignment horizontal="center"/>
    </xf>
    <xf numFmtId="0" fontId="1" fillId="3" borderId="33" xfId="1" applyFill="1" applyBorder="1" applyAlignment="1">
      <alignment horizontal="center"/>
    </xf>
    <xf numFmtId="0" fontId="1" fillId="3" borderId="66" xfId="1" applyFill="1" applyBorder="1" applyAlignment="1">
      <alignment horizontal="center"/>
    </xf>
    <xf numFmtId="0" fontId="1" fillId="3" borderId="67" xfId="1" applyFill="1" applyBorder="1" applyAlignment="1">
      <alignment horizontal="center"/>
    </xf>
    <xf numFmtId="3" fontId="3" fillId="2" borderId="53" xfId="1" applyNumberFormat="1" applyFont="1" applyFill="1" applyBorder="1" applyAlignment="1">
      <alignment horizontal="center" vertical="center"/>
    </xf>
    <xf numFmtId="0" fontId="12" fillId="3" borderId="65" xfId="1" applyFont="1" applyFill="1" applyBorder="1" applyAlignment="1">
      <alignment horizontal="center"/>
    </xf>
    <xf numFmtId="0" fontId="9" fillId="2" borderId="43" xfId="1" applyFont="1" applyFill="1" applyBorder="1" applyAlignment="1">
      <alignment horizontal="right"/>
    </xf>
    <xf numFmtId="0" fontId="9" fillId="2" borderId="32" xfId="1" applyFont="1" applyFill="1" applyBorder="1" applyAlignment="1">
      <alignment horizontal="center" vertical="center"/>
    </xf>
    <xf numFmtId="0" fontId="1" fillId="0" borderId="37" xfId="1" applyBorder="1"/>
    <xf numFmtId="0" fontId="4" fillId="0" borderId="0" xfId="1" applyFont="1" applyAlignment="1">
      <alignment wrapText="1"/>
    </xf>
    <xf numFmtId="0" fontId="1" fillId="0" borderId="0" xfId="1" applyAlignment="1">
      <alignment wrapText="1"/>
    </xf>
    <xf numFmtId="0" fontId="12" fillId="3" borderId="12" xfId="1" applyFont="1" applyFill="1" applyBorder="1" applyAlignment="1">
      <alignment horizontal="center"/>
    </xf>
    <xf numFmtId="0" fontId="1" fillId="3" borderId="15" xfId="1" applyFill="1" applyBorder="1" applyAlignment="1">
      <alignment horizontal="center"/>
    </xf>
    <xf numFmtId="0" fontId="1" fillId="3" borderId="49" xfId="1" applyFill="1" applyBorder="1" applyAlignment="1">
      <alignment horizontal="center"/>
    </xf>
    <xf numFmtId="0" fontId="10" fillId="3" borderId="60" xfId="1" applyFont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0" fontId="1" fillId="3" borderId="6" xfId="1" applyFill="1" applyBorder="1" applyAlignment="1">
      <alignment horizontal="center"/>
    </xf>
    <xf numFmtId="0" fontId="12" fillId="3" borderId="59" xfId="1" applyFont="1" applyFill="1" applyBorder="1" applyAlignment="1">
      <alignment horizontal="center"/>
    </xf>
    <xf numFmtId="0" fontId="1" fillId="3" borderId="53" xfId="1" applyFill="1" applyBorder="1" applyAlignment="1">
      <alignment horizontal="center"/>
    </xf>
    <xf numFmtId="0" fontId="12" fillId="3" borderId="68" xfId="1" applyFont="1" applyFill="1" applyBorder="1" applyAlignment="1">
      <alignment horizontal="center"/>
    </xf>
  </cellXfs>
  <cellStyles count="2">
    <cellStyle name="Обычный" xfId="0" builtinId="0"/>
    <cellStyle name="Обычный 2" xfId="1" xr:uid="{C4012FA1-6C30-4AC2-940A-FD34BB57AC94}"/>
  </cellStyles>
  <dxfs count="105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945C-F74C-4EE2-8765-DB8417FF9FC5}">
  <sheetPr>
    <outlinePr summaryBelow="0"/>
    <pageSetUpPr fitToPage="1"/>
  </sheetPr>
  <dimension ref="A1:AB229"/>
  <sheetViews>
    <sheetView topLeftCell="A84" zoomScale="70" zoomScaleNormal="70" workbookViewId="0">
      <selection activeCell="K126" sqref="K126:L126"/>
    </sheetView>
  </sheetViews>
  <sheetFormatPr defaultColWidth="8.19921875" defaultRowHeight="13.2"/>
  <cols>
    <col min="1" max="1" width="20.69921875" style="3" customWidth="1"/>
    <col min="2" max="2" width="9.296875" style="3" customWidth="1"/>
    <col min="3" max="3" width="10.19921875" style="3" customWidth="1"/>
    <col min="4" max="4" width="12.8984375" style="3" customWidth="1"/>
    <col min="5" max="5" width="10.5" style="3" customWidth="1"/>
    <col min="6" max="6" width="23.5" style="3" customWidth="1"/>
    <col min="7" max="7" width="16.5" style="3" customWidth="1"/>
    <col min="8" max="8" width="24" style="3" customWidth="1"/>
    <col min="9" max="9" width="21.19921875" style="3" customWidth="1"/>
    <col min="10" max="10" width="21.5" style="3" customWidth="1"/>
    <col min="11" max="11" width="22" style="3" customWidth="1"/>
    <col min="12" max="12" width="20.59765625" style="3" customWidth="1"/>
    <col min="13" max="13" width="6.296875" style="3" customWidth="1"/>
    <col min="14" max="14" width="9.296875" style="3" customWidth="1"/>
    <col min="15" max="15" width="13.8984375" style="3" customWidth="1"/>
    <col min="16" max="16" width="11.59765625" style="3" customWidth="1"/>
    <col min="17" max="17" width="11.3984375" style="3" customWidth="1"/>
    <col min="18" max="21" width="6.59765625" style="3" customWidth="1"/>
    <col min="22" max="27" width="7.796875" style="3" customWidth="1"/>
    <col min="28" max="31" width="13.796875" style="3" customWidth="1"/>
    <col min="32" max="32" width="14.5" style="3" customWidth="1"/>
    <col min="33" max="33" width="19.5" style="3" customWidth="1"/>
    <col min="34" max="34" width="12" style="3" customWidth="1"/>
    <col min="35" max="35" width="8.19921875" style="3" customWidth="1"/>
    <col min="36" max="16384" width="8.19921875" style="3"/>
  </cols>
  <sheetData>
    <row r="1" spans="1:24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</row>
    <row r="2" spans="1:24" ht="15.6" thickBo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</row>
    <row r="3" spans="1:24" ht="18" thickBot="1">
      <c r="A3" s="6" t="s">
        <v>2</v>
      </c>
      <c r="B3" s="7"/>
      <c r="C3" s="7"/>
      <c r="D3" s="7"/>
      <c r="E3" s="8"/>
      <c r="F3" s="9" t="s">
        <v>3</v>
      </c>
      <c r="G3" s="10">
        <f>SUM(J21:J32)+SUM(J136:J147)</f>
        <v>28983.333333333332</v>
      </c>
      <c r="H3" s="10">
        <f>SUM(K21:K32)+SUM(K136:K147)</f>
        <v>29009</v>
      </c>
      <c r="I3" s="11" t="s">
        <v>4</v>
      </c>
      <c r="J3" s="12">
        <v>7400</v>
      </c>
      <c r="K3" s="13" t="s">
        <v>5</v>
      </c>
      <c r="L3" s="13">
        <v>720</v>
      </c>
      <c r="V3" s="14" t="s">
        <v>6</v>
      </c>
    </row>
    <row r="4" spans="1:24" ht="20.25" customHeight="1">
      <c r="A4" s="15" t="s">
        <v>7</v>
      </c>
      <c r="B4" s="16"/>
      <c r="C4" s="16"/>
      <c r="D4" s="16"/>
      <c r="E4" s="17"/>
      <c r="F4" s="18" t="s">
        <v>8</v>
      </c>
      <c r="G4" s="19"/>
      <c r="H4" s="20"/>
      <c r="I4" s="18" t="s">
        <v>9</v>
      </c>
      <c r="J4" s="21"/>
      <c r="K4" s="22" t="s">
        <v>10</v>
      </c>
      <c r="L4" s="17"/>
      <c r="M4" s="23"/>
      <c r="N4" s="24" t="s">
        <v>11</v>
      </c>
      <c r="O4" s="25"/>
      <c r="P4" s="25"/>
      <c r="Q4" s="25"/>
      <c r="R4" s="25"/>
      <c r="S4" s="25"/>
      <c r="T4" s="25"/>
      <c r="U4" s="25"/>
      <c r="V4" s="14" t="s">
        <v>12</v>
      </c>
      <c r="X4" s="26"/>
    </row>
    <row r="5" spans="1:24" ht="13.8">
      <c r="A5" s="27" t="s">
        <v>13</v>
      </c>
      <c r="B5" s="28"/>
      <c r="C5" s="28"/>
      <c r="D5" s="28"/>
      <c r="E5" s="29"/>
      <c r="F5" s="30" t="s">
        <v>14</v>
      </c>
      <c r="G5" s="31"/>
      <c r="H5" s="32"/>
      <c r="I5" s="30" t="s">
        <v>15</v>
      </c>
      <c r="J5" s="32" t="s">
        <v>15</v>
      </c>
      <c r="K5" s="30" t="s">
        <v>16</v>
      </c>
      <c r="L5" s="32"/>
      <c r="N5" s="33"/>
      <c r="O5" s="34" t="s">
        <v>17</v>
      </c>
      <c r="P5" s="35"/>
      <c r="Q5" s="35"/>
      <c r="R5" s="36"/>
      <c r="S5" s="36"/>
      <c r="T5" s="36"/>
      <c r="U5" s="36"/>
      <c r="V5" s="14" t="s">
        <v>18</v>
      </c>
      <c r="X5" s="37"/>
    </row>
    <row r="6" spans="1:24" ht="13.8">
      <c r="A6" s="27" t="s">
        <v>19</v>
      </c>
      <c r="B6" s="28"/>
      <c r="C6" s="28"/>
      <c r="D6" s="28"/>
      <c r="E6" s="29"/>
      <c r="F6" s="30" t="s">
        <v>20</v>
      </c>
      <c r="G6" s="31"/>
      <c r="H6" s="32"/>
      <c r="I6" s="30" t="s">
        <v>21</v>
      </c>
      <c r="J6" s="32" t="s">
        <v>21</v>
      </c>
      <c r="K6" s="30" t="s">
        <v>22</v>
      </c>
      <c r="L6" s="32"/>
      <c r="N6" s="38"/>
      <c r="O6" s="39"/>
      <c r="P6" s="40"/>
      <c r="Q6" s="40"/>
      <c r="R6" s="41"/>
      <c r="S6" s="41"/>
      <c r="T6" s="41"/>
      <c r="U6" s="41"/>
      <c r="V6" s="14" t="s">
        <v>23</v>
      </c>
      <c r="X6" s="37"/>
    </row>
    <row r="7" spans="1:24" ht="16.5" customHeight="1">
      <c r="A7" s="42" t="s">
        <v>24</v>
      </c>
      <c r="B7" s="28"/>
      <c r="C7" s="28"/>
      <c r="D7" s="28"/>
      <c r="E7" s="29"/>
      <c r="F7" s="30" t="s">
        <v>25</v>
      </c>
      <c r="G7" s="31"/>
      <c r="H7" s="32"/>
      <c r="I7" s="30" t="s">
        <v>26</v>
      </c>
      <c r="J7" s="32" t="s">
        <v>26</v>
      </c>
      <c r="K7" s="30" t="s">
        <v>27</v>
      </c>
      <c r="L7" s="32"/>
      <c r="N7" s="43"/>
      <c r="O7" s="34" t="s">
        <v>28</v>
      </c>
      <c r="P7" s="35"/>
      <c r="Q7" s="44"/>
      <c r="R7" s="45"/>
      <c r="S7" s="45"/>
      <c r="T7" s="45"/>
      <c r="U7" s="45"/>
      <c r="V7" s="14" t="s">
        <v>29</v>
      </c>
      <c r="X7" s="37"/>
    </row>
    <row r="8" spans="1:24" ht="16.5" customHeight="1">
      <c r="A8" s="30"/>
      <c r="B8" s="31"/>
      <c r="C8" s="31"/>
      <c r="D8" s="31"/>
      <c r="E8" s="32"/>
      <c r="F8" s="30"/>
      <c r="G8" s="31"/>
      <c r="H8" s="32"/>
      <c r="I8" s="30" t="s">
        <v>30</v>
      </c>
      <c r="J8" s="32" t="s">
        <v>30</v>
      </c>
      <c r="K8" s="30"/>
      <c r="L8" s="32"/>
      <c r="N8" s="46"/>
      <c r="O8" s="47"/>
      <c r="P8" s="48"/>
      <c r="Q8" s="49"/>
      <c r="R8" s="50"/>
      <c r="S8" s="50"/>
      <c r="T8" s="50"/>
      <c r="U8" s="50"/>
      <c r="V8" s="14" t="s">
        <v>31</v>
      </c>
      <c r="X8" s="37"/>
    </row>
    <row r="9" spans="1:24" ht="13.8">
      <c r="A9" s="30"/>
      <c r="B9" s="31"/>
      <c r="C9" s="31"/>
      <c r="D9" s="31"/>
      <c r="E9" s="32"/>
      <c r="F9" s="30"/>
      <c r="G9" s="31"/>
      <c r="H9" s="32"/>
      <c r="I9" s="30" t="s">
        <v>32</v>
      </c>
      <c r="J9" s="32" t="s">
        <v>32</v>
      </c>
      <c r="K9" s="30" t="s">
        <v>33</v>
      </c>
      <c r="L9" s="32"/>
      <c r="N9" s="51"/>
      <c r="O9" s="51"/>
      <c r="P9" s="52"/>
      <c r="Q9" s="52"/>
      <c r="R9" s="53"/>
      <c r="S9" s="53"/>
      <c r="T9" s="53"/>
      <c r="U9" s="53"/>
      <c r="V9" s="14" t="s">
        <v>34</v>
      </c>
      <c r="X9" s="37"/>
    </row>
    <row r="10" spans="1:24" ht="14.4" customHeight="1">
      <c r="A10" s="30"/>
      <c r="B10" s="31"/>
      <c r="C10" s="31"/>
      <c r="D10" s="31"/>
      <c r="E10" s="32"/>
      <c r="F10" s="30"/>
      <c r="G10" s="31"/>
      <c r="H10" s="32"/>
      <c r="I10" s="30" t="s">
        <v>32</v>
      </c>
      <c r="J10" s="32" t="s">
        <v>32</v>
      </c>
      <c r="K10" s="30" t="s">
        <v>35</v>
      </c>
      <c r="L10" s="32"/>
      <c r="N10" s="54"/>
      <c r="O10" s="54"/>
      <c r="P10" s="53"/>
      <c r="Q10" s="53"/>
      <c r="R10" s="53"/>
      <c r="S10" s="53"/>
      <c r="T10" s="53"/>
      <c r="U10" s="53"/>
      <c r="V10" s="14"/>
      <c r="X10" s="37"/>
    </row>
    <row r="11" spans="1:24" ht="14.4" customHeight="1">
      <c r="A11" s="30"/>
      <c r="B11" s="31"/>
      <c r="C11" s="31"/>
      <c r="D11" s="31"/>
      <c r="E11" s="32"/>
      <c r="F11" s="30"/>
      <c r="G11" s="31"/>
      <c r="H11" s="32"/>
      <c r="I11" s="30" t="s">
        <v>36</v>
      </c>
      <c r="J11" s="32" t="s">
        <v>36</v>
      </c>
      <c r="K11" s="30" t="s">
        <v>37</v>
      </c>
      <c r="L11" s="32"/>
      <c r="N11" s="54"/>
      <c r="O11" s="54"/>
      <c r="P11" s="53"/>
      <c r="Q11" s="53"/>
      <c r="R11" s="53"/>
      <c r="S11" s="53"/>
      <c r="T11" s="53"/>
      <c r="U11" s="53"/>
      <c r="V11" s="14"/>
      <c r="X11" s="37"/>
    </row>
    <row r="12" spans="1:24" ht="14.4" customHeight="1">
      <c r="A12" s="30"/>
      <c r="B12" s="31"/>
      <c r="C12" s="31"/>
      <c r="D12" s="31"/>
      <c r="E12" s="32"/>
      <c r="F12" s="30"/>
      <c r="G12" s="31"/>
      <c r="H12" s="32"/>
      <c r="I12" s="30"/>
      <c r="J12" s="32"/>
      <c r="K12" s="30"/>
      <c r="L12" s="32"/>
      <c r="N12" s="54"/>
      <c r="O12" s="54"/>
      <c r="P12" s="53"/>
      <c r="Q12" s="53"/>
      <c r="R12" s="53"/>
      <c r="S12" s="53"/>
      <c r="T12" s="53"/>
      <c r="U12" s="53"/>
      <c r="V12" s="14"/>
      <c r="X12" s="37"/>
    </row>
    <row r="13" spans="1:24" ht="14.4" customHeight="1" thickBot="1">
      <c r="A13" s="30"/>
      <c r="B13" s="31"/>
      <c r="C13" s="31"/>
      <c r="D13" s="31"/>
      <c r="E13" s="32"/>
      <c r="F13" s="30"/>
      <c r="G13" s="31"/>
      <c r="H13" s="32"/>
      <c r="I13" s="30"/>
      <c r="J13" s="32"/>
      <c r="K13" s="30"/>
      <c r="L13" s="32"/>
      <c r="N13" s="54"/>
      <c r="O13" s="54"/>
      <c r="P13" s="53"/>
      <c r="Q13" s="53"/>
      <c r="R13" s="53"/>
      <c r="S13" s="53"/>
      <c r="T13" s="53"/>
      <c r="U13" s="53"/>
      <c r="V13" s="14"/>
      <c r="X13" s="37"/>
    </row>
    <row r="14" spans="1:24" ht="18.75" customHeight="1" thickBot="1">
      <c r="A14" s="55" t="s">
        <v>38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7"/>
      <c r="N14" s="58" t="s">
        <v>39</v>
      </c>
      <c r="O14" s="59"/>
      <c r="P14" s="59"/>
      <c r="Q14" s="59"/>
      <c r="R14" s="59"/>
      <c r="S14" s="59"/>
      <c r="T14" s="59"/>
      <c r="U14" s="60"/>
      <c r="V14" s="14" t="s">
        <v>40</v>
      </c>
      <c r="X14" s="37"/>
    </row>
    <row r="15" spans="1:24" ht="8.25" customHeight="1">
      <c r="A15" s="61" t="s">
        <v>41</v>
      </c>
      <c r="B15" s="61" t="s">
        <v>42</v>
      </c>
      <c r="C15" s="61" t="s">
        <v>43</v>
      </c>
      <c r="D15" s="61" t="s">
        <v>44</v>
      </c>
      <c r="E15" s="61" t="s">
        <v>45</v>
      </c>
      <c r="F15" s="61" t="s">
        <v>46</v>
      </c>
      <c r="G15" s="61" t="s">
        <v>47</v>
      </c>
      <c r="H15" s="61" t="s">
        <v>48</v>
      </c>
      <c r="I15" s="61" t="s">
        <v>49</v>
      </c>
      <c r="J15" s="61" t="s">
        <v>50</v>
      </c>
      <c r="K15" s="61" t="s">
        <v>51</v>
      </c>
      <c r="L15" s="61" t="s">
        <v>52</v>
      </c>
      <c r="N15" s="62" t="s">
        <v>53</v>
      </c>
      <c r="O15" s="62"/>
      <c r="P15" s="63" t="s">
        <v>54</v>
      </c>
      <c r="Q15" s="64"/>
      <c r="R15" s="64"/>
      <c r="S15" s="64"/>
      <c r="T15" s="64"/>
      <c r="U15" s="65"/>
      <c r="V15" s="62" t="s">
        <v>55</v>
      </c>
      <c r="X15" s="37"/>
    </row>
    <row r="16" spans="1:24" ht="12.75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N16" s="62"/>
      <c r="O16" s="62"/>
      <c r="P16" s="67"/>
      <c r="Q16" s="68"/>
      <c r="R16" s="68"/>
      <c r="S16" s="68"/>
      <c r="T16" s="68"/>
      <c r="U16" s="69"/>
      <c r="V16" s="62"/>
      <c r="X16" s="37"/>
    </row>
    <row r="17" spans="1:24" ht="12.75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N17" s="62"/>
      <c r="O17" s="62"/>
      <c r="P17" s="67"/>
      <c r="Q17" s="68"/>
      <c r="R17" s="68"/>
      <c r="S17" s="68"/>
      <c r="T17" s="68"/>
      <c r="U17" s="69"/>
      <c r="V17" s="62"/>
      <c r="X17" s="37"/>
    </row>
    <row r="18" spans="1:24" ht="3.75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N18" s="62"/>
      <c r="O18" s="62"/>
      <c r="P18" s="70"/>
      <c r="Q18" s="71"/>
      <c r="R18" s="71"/>
      <c r="S18" s="71"/>
      <c r="T18" s="71"/>
      <c r="U18" s="72"/>
      <c r="V18" s="62"/>
      <c r="X18" s="37"/>
    </row>
    <row r="19" spans="1:24" ht="45.75" customHeight="1" thickBot="1">
      <c r="A19" s="66"/>
      <c r="B19" s="66"/>
      <c r="C19" s="66"/>
      <c r="D19" s="73"/>
      <c r="E19" s="73"/>
      <c r="F19" s="73"/>
      <c r="G19" s="73"/>
      <c r="H19" s="73"/>
      <c r="I19" s="73"/>
      <c r="J19" s="73"/>
      <c r="K19" s="73"/>
      <c r="L19" s="66"/>
      <c r="M19" s="74"/>
      <c r="N19" s="75" t="s">
        <v>56</v>
      </c>
      <c r="O19" s="75"/>
      <c r="P19" s="76">
        <f>SUM(S47:S58)</f>
        <v>25.000000000000071</v>
      </c>
      <c r="Q19" s="76">
        <f>SUM(S59:S69)</f>
        <v>0</v>
      </c>
      <c r="R19" s="76">
        <f>SUM(S70:S80)</f>
        <v>0</v>
      </c>
      <c r="S19" s="76">
        <f>SUM(S81:S91)</f>
        <v>0</v>
      </c>
      <c r="T19" s="76">
        <f>SUM(S92:S102)</f>
        <v>0</v>
      </c>
      <c r="U19" s="76">
        <f>SUM(S103:S113)</f>
        <v>0</v>
      </c>
      <c r="V19" s="77">
        <f t="shared" ref="V19:V26" si="0">P19+Q19+R19+S19+T19+U19</f>
        <v>25.000000000000071</v>
      </c>
      <c r="X19" s="53"/>
    </row>
    <row r="20" spans="1:24" ht="14.4" customHeight="1" thickBot="1">
      <c r="A20" s="78"/>
      <c r="B20" s="78"/>
      <c r="C20" s="78"/>
      <c r="D20" s="79" t="s">
        <v>57</v>
      </c>
      <c r="E20" s="79" t="s">
        <v>58</v>
      </c>
      <c r="F20" s="79" t="s">
        <v>57</v>
      </c>
      <c r="G20" s="79"/>
      <c r="H20" s="79" t="s">
        <v>57</v>
      </c>
      <c r="I20" s="79"/>
      <c r="J20" s="79" t="s">
        <v>59</v>
      </c>
      <c r="K20" s="80" t="s">
        <v>59</v>
      </c>
      <c r="L20" s="81" t="s">
        <v>60</v>
      </c>
      <c r="N20" s="82" t="s">
        <v>61</v>
      </c>
      <c r="O20" s="82"/>
      <c r="P20" s="76">
        <f>SUM(T46:T57)</f>
        <v>0</v>
      </c>
      <c r="Q20" s="76">
        <f>SUM(T58:T68)</f>
        <v>0</v>
      </c>
      <c r="R20" s="76">
        <f>SUM(T69:T79)</f>
        <v>0</v>
      </c>
      <c r="S20" s="76">
        <f>SUM(T80:T90)</f>
        <v>0</v>
      </c>
      <c r="T20" s="76">
        <f>SUM(T91:T101)</f>
        <v>0</v>
      </c>
      <c r="U20" s="76">
        <f>SUM(T102:T112)</f>
        <v>0</v>
      </c>
      <c r="V20" s="77">
        <f t="shared" si="0"/>
        <v>0</v>
      </c>
      <c r="X20" s="53"/>
    </row>
    <row r="21" spans="1:24" ht="17.25" customHeight="1">
      <c r="A21" s="61" t="str">
        <f>A37</f>
        <v>Груша Джус</v>
      </c>
      <c r="B21" s="83">
        <v>0.33333333333333331</v>
      </c>
      <c r="C21" s="83">
        <v>0.83333333333333337</v>
      </c>
      <c r="D21" s="84">
        <f>(C21-B21+(C21&lt;B21))*24*60</f>
        <v>720</v>
      </c>
      <c r="E21" s="85">
        <v>7400</v>
      </c>
      <c r="F21" s="86">
        <f>IF(E21=0,0,(F37/J3*60))</f>
        <v>235.20810810810812</v>
      </c>
      <c r="G21" s="87">
        <f>IF($K21=0,0,(K21*100)/(D21*$J$3/60))</f>
        <v>32.667792792792795</v>
      </c>
      <c r="H21" s="86">
        <f>P19+P26</f>
        <v>485</v>
      </c>
      <c r="I21" s="87">
        <f>D21-F21-P27</f>
        <v>-0.20810810810814928</v>
      </c>
      <c r="J21" s="84">
        <f>(D21-H21)/60*E21</f>
        <v>28983.333333333332</v>
      </c>
      <c r="K21" s="88">
        <f>F37</f>
        <v>29009</v>
      </c>
      <c r="L21" s="89">
        <f>IF($K21=0,0,K21/J21)</f>
        <v>1.0008855664174814</v>
      </c>
      <c r="N21" s="82" t="s">
        <v>62</v>
      </c>
      <c r="O21" s="82"/>
      <c r="P21" s="76">
        <f>SUM(U46:U57)</f>
        <v>0</v>
      </c>
      <c r="Q21" s="76">
        <f>SUM(U58:U68)</f>
        <v>0</v>
      </c>
      <c r="R21" s="76">
        <f>SUM(U69:U79)</f>
        <v>0</v>
      </c>
      <c r="S21" s="76">
        <f>SUM(U80:U90)</f>
        <v>0</v>
      </c>
      <c r="T21" s="76">
        <f>SUM(U91:U101)</f>
        <v>0</v>
      </c>
      <c r="U21" s="76">
        <f>SUM(U102:U112)</f>
        <v>0</v>
      </c>
      <c r="V21" s="77">
        <f t="shared" si="0"/>
        <v>0</v>
      </c>
      <c r="W21" s="53"/>
      <c r="X21" s="53"/>
    </row>
    <row r="22" spans="1:24" ht="17.25" customHeight="1" thickBot="1">
      <c r="A22" s="78"/>
      <c r="B22" s="90"/>
      <c r="C22" s="90"/>
      <c r="D22" s="91"/>
      <c r="E22" s="92"/>
      <c r="F22" s="93"/>
      <c r="G22" s="94"/>
      <c r="H22" s="93"/>
      <c r="I22" s="94"/>
      <c r="J22" s="91"/>
      <c r="K22" s="95"/>
      <c r="L22" s="96">
        <f>K21-J21</f>
        <v>25.666666666667879</v>
      </c>
      <c r="N22" s="82" t="s">
        <v>63</v>
      </c>
      <c r="O22" s="82"/>
      <c r="P22" s="76">
        <f>SUM(V46:V57)</f>
        <v>0</v>
      </c>
      <c r="Q22" s="76">
        <f>SUM(V58:V68)</f>
        <v>0</v>
      </c>
      <c r="R22" s="76">
        <f>SUM(V69:V79)</f>
        <v>0</v>
      </c>
      <c r="S22" s="76">
        <f>SUM(V80:V90)</f>
        <v>0</v>
      </c>
      <c r="T22" s="76">
        <f>SUM(V91:V101)</f>
        <v>0</v>
      </c>
      <c r="U22" s="76">
        <f>SUM(V102:V112)</f>
        <v>0</v>
      </c>
      <c r="V22" s="77">
        <f t="shared" si="0"/>
        <v>0</v>
      </c>
      <c r="W22" s="53"/>
      <c r="X22" s="53"/>
    </row>
    <row r="23" spans="1:24" ht="17.25" customHeight="1">
      <c r="A23" s="61">
        <f>A38</f>
        <v>0</v>
      </c>
      <c r="B23" s="83"/>
      <c r="C23" s="83"/>
      <c r="D23" s="84">
        <f>(C23-B23+(C23&lt;B23))*24*60</f>
        <v>0</v>
      </c>
      <c r="E23" s="85"/>
      <c r="F23" s="86">
        <f>IF(E23=0,0,(F38/J3*60))</f>
        <v>0</v>
      </c>
      <c r="G23" s="87">
        <f>IF($K23=0,0,(K23*100)/(D23*$J$3/60))</f>
        <v>0</v>
      </c>
      <c r="H23" s="86">
        <f>Q19+Q26</f>
        <v>0</v>
      </c>
      <c r="I23" s="87">
        <f>D23-F23-Q27</f>
        <v>0</v>
      </c>
      <c r="J23" s="84">
        <f>(D23-H23)/60*E23</f>
        <v>0</v>
      </c>
      <c r="K23" s="88">
        <f>F38</f>
        <v>0</v>
      </c>
      <c r="L23" s="97">
        <f>IF($K23=0,0,K23/J23)</f>
        <v>0</v>
      </c>
      <c r="N23" s="82" t="s">
        <v>64</v>
      </c>
      <c r="O23" s="82"/>
      <c r="P23" s="76">
        <f>SUM(W46:W57)</f>
        <v>0</v>
      </c>
      <c r="Q23" s="76">
        <f>SUM(W58:W68)</f>
        <v>0</v>
      </c>
      <c r="R23" s="76">
        <f>SUM(W69:W79)</f>
        <v>0</v>
      </c>
      <c r="S23" s="76">
        <f>SUM(W80:W90)</f>
        <v>0</v>
      </c>
      <c r="T23" s="76">
        <f>SUM(W91:W101)</f>
        <v>0</v>
      </c>
      <c r="U23" s="76">
        <f>SUM(W102:W112)</f>
        <v>0</v>
      </c>
      <c r="V23" s="77">
        <f t="shared" si="0"/>
        <v>0</v>
      </c>
      <c r="W23" s="53"/>
      <c r="X23" s="53"/>
    </row>
    <row r="24" spans="1:24" ht="16.95" customHeight="1" thickBot="1">
      <c r="A24" s="78"/>
      <c r="B24" s="90"/>
      <c r="C24" s="90"/>
      <c r="D24" s="91"/>
      <c r="E24" s="92"/>
      <c r="F24" s="93"/>
      <c r="G24" s="94"/>
      <c r="H24" s="93"/>
      <c r="I24" s="94"/>
      <c r="J24" s="91"/>
      <c r="K24" s="95"/>
      <c r="L24" s="96">
        <f>K23-J23</f>
        <v>0</v>
      </c>
      <c r="N24" s="98" t="s">
        <v>65</v>
      </c>
      <c r="O24" s="98"/>
      <c r="P24" s="76">
        <f>SUM(X46:X57)</f>
        <v>0</v>
      </c>
      <c r="Q24" s="76">
        <f>SUM(X58:X68)</f>
        <v>0</v>
      </c>
      <c r="R24" s="76">
        <f>SUM(X69:X79)</f>
        <v>0</v>
      </c>
      <c r="S24" s="76">
        <f>SUM(X80:X90)</f>
        <v>0</v>
      </c>
      <c r="T24" s="76">
        <f>SUM(X91:X101)</f>
        <v>0</v>
      </c>
      <c r="U24" s="76">
        <f>SUM(X102:X112)</f>
        <v>0</v>
      </c>
      <c r="V24" s="77">
        <f t="shared" si="0"/>
        <v>0</v>
      </c>
      <c r="W24" s="53"/>
      <c r="X24" s="53"/>
    </row>
    <row r="25" spans="1:24" ht="16.95" customHeight="1" collapsed="1">
      <c r="A25" s="61">
        <f>A39</f>
        <v>0</v>
      </c>
      <c r="B25" s="83"/>
      <c r="C25" s="83"/>
      <c r="D25" s="84">
        <f>(C25-B25+(C25&lt;B25))*24*60</f>
        <v>0</v>
      </c>
      <c r="E25" s="85"/>
      <c r="F25" s="86">
        <f>IF(E25=0,0,(F39/J3*60))</f>
        <v>0</v>
      </c>
      <c r="G25" s="87">
        <f>IF($K25=0,0,(K25*100)/(D25*$J$3/60))</f>
        <v>0</v>
      </c>
      <c r="H25" s="86">
        <f>R19+R26</f>
        <v>0</v>
      </c>
      <c r="I25" s="87">
        <f>D25-F25-R27</f>
        <v>0</v>
      </c>
      <c r="J25" s="84">
        <f>(D25-H25)/60*E25</f>
        <v>0</v>
      </c>
      <c r="K25" s="88">
        <f>F39</f>
        <v>0</v>
      </c>
      <c r="L25" s="89">
        <f>IF($K25=0,0,K25/J25)</f>
        <v>0</v>
      </c>
      <c r="N25" s="98" t="s">
        <v>66</v>
      </c>
      <c r="O25" s="98"/>
      <c r="P25" s="76">
        <f>SUM(Y46:Y57)</f>
        <v>0</v>
      </c>
      <c r="Q25" s="76">
        <f>SUM(Y58:Y68)</f>
        <v>0</v>
      </c>
      <c r="R25" s="76">
        <f>SUM(Y69:Y79)</f>
        <v>0</v>
      </c>
      <c r="S25" s="76">
        <f>SUM(Y80:Y90)</f>
        <v>0</v>
      </c>
      <c r="T25" s="76">
        <f>SUM(Y91:Y101)</f>
        <v>0</v>
      </c>
      <c r="U25" s="76">
        <f>SUM(Y102:Y112)</f>
        <v>0</v>
      </c>
      <c r="V25" s="77">
        <f t="shared" si="0"/>
        <v>0</v>
      </c>
      <c r="W25" s="53"/>
      <c r="X25" s="53"/>
    </row>
    <row r="26" spans="1:24" ht="16.95" customHeight="1" thickBot="1">
      <c r="A26" s="78"/>
      <c r="B26" s="90"/>
      <c r="C26" s="90"/>
      <c r="D26" s="91"/>
      <c r="E26" s="92"/>
      <c r="F26" s="93"/>
      <c r="G26" s="94"/>
      <c r="H26" s="93"/>
      <c r="I26" s="94"/>
      <c r="J26" s="91"/>
      <c r="K26" s="95"/>
      <c r="L26" s="96">
        <f>K25-J25</f>
        <v>0</v>
      </c>
      <c r="N26" s="99" t="s">
        <v>67</v>
      </c>
      <c r="O26" s="99"/>
      <c r="P26" s="76">
        <f>SUM(Z46:Z57)</f>
        <v>459.99999999999994</v>
      </c>
      <c r="Q26" s="76">
        <f>SUM(Z58:Z68)</f>
        <v>0</v>
      </c>
      <c r="R26" s="76">
        <f>SUM(Z69:Z79)</f>
        <v>0</v>
      </c>
      <c r="S26" s="76">
        <f>SUM(Z80:Z90)</f>
        <v>0</v>
      </c>
      <c r="T26" s="76">
        <f>SUM(Z91:Z101)</f>
        <v>0</v>
      </c>
      <c r="U26" s="76">
        <f>SUM(Z102:Z112)</f>
        <v>0</v>
      </c>
      <c r="V26" s="77">
        <f t="shared" si="0"/>
        <v>459.99999999999994</v>
      </c>
      <c r="W26" s="53"/>
      <c r="X26" s="53"/>
    </row>
    <row r="27" spans="1:24" ht="16.95" customHeight="1" collapsed="1">
      <c r="A27" s="66">
        <f>A40</f>
        <v>0</v>
      </c>
      <c r="B27" s="100"/>
      <c r="C27" s="100"/>
      <c r="D27" s="101">
        <f>(C27-B27+(C27&lt;B27))*24*60</f>
        <v>0</v>
      </c>
      <c r="E27" s="102"/>
      <c r="F27" s="103">
        <f>IF(E27=0,0,(F40/J3*60))</f>
        <v>0</v>
      </c>
      <c r="G27" s="87">
        <f>IF($K27=0,0,(K27*100)/(D27*$J$3/60))</f>
        <v>0</v>
      </c>
      <c r="H27" s="103">
        <f>S19+S26</f>
        <v>0</v>
      </c>
      <c r="I27" s="104">
        <f>D27-F27-S27</f>
        <v>0</v>
      </c>
      <c r="J27" s="101">
        <f>(D27-H27)/60*E27</f>
        <v>0</v>
      </c>
      <c r="K27" s="88">
        <f>F40</f>
        <v>0</v>
      </c>
      <c r="L27" s="89">
        <f>IF($K27=0,0,K27/J27)</f>
        <v>0</v>
      </c>
      <c r="N27" s="105" t="s">
        <v>68</v>
      </c>
      <c r="O27" s="105"/>
      <c r="P27" s="77">
        <f t="shared" ref="P27:U27" si="1">SUM(P18:P26)</f>
        <v>485</v>
      </c>
      <c r="Q27" s="77">
        <f t="shared" si="1"/>
        <v>0</v>
      </c>
      <c r="R27" s="77">
        <f t="shared" si="1"/>
        <v>0</v>
      </c>
      <c r="S27" s="77">
        <f t="shared" si="1"/>
        <v>0</v>
      </c>
      <c r="T27" s="77">
        <f t="shared" si="1"/>
        <v>0</v>
      </c>
      <c r="U27" s="77">
        <f t="shared" si="1"/>
        <v>0</v>
      </c>
      <c r="V27" s="77">
        <f>P27+Q27+R27+S27+T27+U27</f>
        <v>485</v>
      </c>
      <c r="W27" s="53"/>
      <c r="X27" s="53"/>
    </row>
    <row r="28" spans="1:24" ht="16.95" customHeight="1" thickBot="1">
      <c r="A28" s="78"/>
      <c r="B28" s="90"/>
      <c r="C28" s="90"/>
      <c r="D28" s="91"/>
      <c r="E28" s="92"/>
      <c r="F28" s="93"/>
      <c r="G28" s="94"/>
      <c r="H28" s="93"/>
      <c r="I28" s="94"/>
      <c r="J28" s="91"/>
      <c r="K28" s="95"/>
      <c r="L28" s="96">
        <f>K27-J27</f>
        <v>0</v>
      </c>
      <c r="N28" s="105"/>
      <c r="O28" s="105"/>
      <c r="P28" s="77"/>
      <c r="Q28" s="77"/>
      <c r="R28" s="77"/>
      <c r="S28" s="77"/>
      <c r="T28" s="77"/>
      <c r="U28" s="77"/>
      <c r="V28" s="77"/>
      <c r="W28" s="53"/>
      <c r="X28" s="53"/>
    </row>
    <row r="29" spans="1:24" ht="16.95" customHeight="1">
      <c r="A29" s="61">
        <f>A41</f>
        <v>0</v>
      </c>
      <c r="B29" s="83"/>
      <c r="C29" s="83"/>
      <c r="D29" s="84">
        <f>(C29-B29+(C29&lt;B29))*24*60</f>
        <v>0</v>
      </c>
      <c r="E29" s="85"/>
      <c r="F29" s="86">
        <f>IF(E29=0,0,(F41/J3*60))</f>
        <v>0</v>
      </c>
      <c r="G29" s="87">
        <f>IF($K29=0,0,(K29*100)/(D29*$J$3/60))</f>
        <v>0</v>
      </c>
      <c r="H29" s="86">
        <f>T19+T26</f>
        <v>0</v>
      </c>
      <c r="I29" s="87">
        <f>D29-F29-T27</f>
        <v>0</v>
      </c>
      <c r="J29" s="84">
        <f>(D29-H29)/60*E29</f>
        <v>0</v>
      </c>
      <c r="K29" s="88">
        <f>F41</f>
        <v>0</v>
      </c>
      <c r="L29" s="89">
        <f>IF($K29=0,0,K29/J29)</f>
        <v>0</v>
      </c>
      <c r="V29" s="53"/>
      <c r="W29" s="53"/>
      <c r="X29" s="53"/>
    </row>
    <row r="30" spans="1:24" ht="16.95" customHeight="1" thickBot="1">
      <c r="A30" s="78"/>
      <c r="B30" s="90"/>
      <c r="C30" s="90"/>
      <c r="D30" s="91"/>
      <c r="E30" s="92"/>
      <c r="F30" s="93"/>
      <c r="G30" s="94"/>
      <c r="H30" s="93"/>
      <c r="I30" s="94"/>
      <c r="J30" s="91"/>
      <c r="K30" s="95"/>
      <c r="L30" s="96">
        <f>K29-J29</f>
        <v>0</v>
      </c>
      <c r="V30" s="53"/>
      <c r="W30" s="53"/>
      <c r="X30" s="53"/>
    </row>
    <row r="31" spans="1:24" ht="16.95" customHeight="1">
      <c r="A31" s="61">
        <f>A42</f>
        <v>0</v>
      </c>
      <c r="B31" s="83"/>
      <c r="C31" s="83"/>
      <c r="D31" s="84">
        <f>(C31-B31+(C31&lt;B31))*24*60</f>
        <v>0</v>
      </c>
      <c r="E31" s="85"/>
      <c r="F31" s="86">
        <f>IF(E31=0,0,(F42/J3*60))</f>
        <v>0</v>
      </c>
      <c r="G31" s="87">
        <f>IF($K31=0,0,(K31*100)/(D31*$J$3/60))</f>
        <v>0</v>
      </c>
      <c r="H31" s="86">
        <f>U19+U26</f>
        <v>0</v>
      </c>
      <c r="I31" s="87">
        <f>D31-F31-U27</f>
        <v>0</v>
      </c>
      <c r="J31" s="84">
        <f>(D31-H31)/60*E31</f>
        <v>0</v>
      </c>
      <c r="K31" s="88">
        <f>F42</f>
        <v>0</v>
      </c>
      <c r="L31" s="89">
        <f>IF($K31=0,0,K31/J31)</f>
        <v>0</v>
      </c>
      <c r="V31" s="53"/>
      <c r="W31" s="53"/>
      <c r="X31" s="53"/>
    </row>
    <row r="32" spans="1:24" ht="16.95" customHeight="1" thickBot="1">
      <c r="A32" s="78"/>
      <c r="B32" s="90"/>
      <c r="C32" s="90"/>
      <c r="D32" s="91"/>
      <c r="E32" s="92"/>
      <c r="F32" s="93"/>
      <c r="G32" s="94"/>
      <c r="H32" s="93"/>
      <c r="I32" s="94"/>
      <c r="J32" s="101"/>
      <c r="K32" s="106"/>
      <c r="L32" s="107">
        <f>K31-J31</f>
        <v>0</v>
      </c>
      <c r="V32" s="53"/>
      <c r="W32" s="53"/>
      <c r="X32" s="53"/>
    </row>
    <row r="33" spans="1:28" s="113" customFormat="1" ht="17.25" customHeight="1">
      <c r="A33" s="108" t="s">
        <v>69</v>
      </c>
      <c r="B33" s="108"/>
      <c r="C33" s="108"/>
      <c r="D33" s="108"/>
      <c r="E33" s="108"/>
      <c r="F33" s="108"/>
      <c r="G33" s="108"/>
      <c r="H33" s="108"/>
      <c r="I33" s="109"/>
      <c r="J33" s="110" t="s">
        <v>70</v>
      </c>
      <c r="K33" s="111" t="s">
        <v>71</v>
      </c>
      <c r="L33" s="112">
        <f>IF($K34=0,0,K34/J34)</f>
        <v>1.0008855664174814</v>
      </c>
      <c r="N33" s="3"/>
      <c r="O33" s="3"/>
      <c r="P33" s="3"/>
      <c r="Q33" s="3"/>
      <c r="R33" s="3"/>
      <c r="S33" s="3"/>
      <c r="T33" s="3"/>
      <c r="U33" s="3"/>
      <c r="V33" s="53"/>
      <c r="W33" s="114"/>
      <c r="X33" s="114"/>
    </row>
    <row r="34" spans="1:28" ht="17.25" customHeight="1" thickBot="1">
      <c r="A34" s="115"/>
      <c r="B34" s="115"/>
      <c r="C34" s="115"/>
      <c r="D34" s="115"/>
      <c r="E34" s="115"/>
      <c r="F34" s="115"/>
      <c r="G34" s="115"/>
      <c r="H34" s="115"/>
      <c r="I34" s="116"/>
      <c r="J34" s="117">
        <f>J21+J23+J25+J27+J29+J31</f>
        <v>28983.333333333332</v>
      </c>
      <c r="K34" s="111">
        <f>K21+K23+K25+K27+K29+K31</f>
        <v>29009</v>
      </c>
      <c r="L34" s="118"/>
      <c r="M34" s="53"/>
      <c r="V34" s="53"/>
      <c r="W34" s="53"/>
      <c r="X34" s="53"/>
    </row>
    <row r="35" spans="1:28" ht="17.25" customHeight="1">
      <c r="A35" s="119" t="s">
        <v>72</v>
      </c>
      <c r="B35" s="120"/>
      <c r="C35" s="120"/>
      <c r="D35" s="120"/>
      <c r="E35" s="121"/>
      <c r="F35" s="61" t="s">
        <v>73</v>
      </c>
      <c r="G35" s="61" t="s">
        <v>74</v>
      </c>
      <c r="H35" s="122"/>
      <c r="I35" s="123"/>
      <c r="J35" s="124"/>
      <c r="K35" s="125"/>
      <c r="L35" s="126" t="s">
        <v>75</v>
      </c>
      <c r="M35" s="127"/>
      <c r="V35" s="53"/>
      <c r="W35" s="128"/>
      <c r="X35" s="128"/>
    </row>
    <row r="36" spans="1:28" ht="17.25" customHeight="1" thickBot="1">
      <c r="A36" s="129"/>
      <c r="B36" s="130"/>
      <c r="C36" s="130"/>
      <c r="D36" s="130"/>
      <c r="E36" s="131"/>
      <c r="F36" s="73"/>
      <c r="G36" s="73"/>
      <c r="H36" s="132"/>
      <c r="I36" s="133"/>
      <c r="J36" s="134"/>
      <c r="K36" s="135"/>
      <c r="L36" s="136"/>
      <c r="M36" s="127"/>
      <c r="V36" s="53"/>
      <c r="W36" s="128"/>
      <c r="X36" s="128"/>
    </row>
    <row r="37" spans="1:28" ht="15.6" thickBot="1">
      <c r="A37" s="137" t="s">
        <v>76</v>
      </c>
      <c r="B37" s="138"/>
      <c r="C37" s="138"/>
      <c r="D37" s="138"/>
      <c r="E37" s="139"/>
      <c r="F37" s="140">
        <v>29009</v>
      </c>
      <c r="G37" s="141">
        <v>25920</v>
      </c>
      <c r="H37" s="142"/>
      <c r="I37" s="143"/>
      <c r="J37" s="144"/>
      <c r="K37" s="145">
        <f>G37</f>
        <v>25920</v>
      </c>
      <c r="L37" s="146"/>
      <c r="M37" s="147"/>
      <c r="V37" s="53"/>
      <c r="W37" s="53"/>
      <c r="X37" s="53"/>
    </row>
    <row r="38" spans="1:28" ht="13.5" customHeight="1" thickBot="1">
      <c r="A38" s="137"/>
      <c r="B38" s="138"/>
      <c r="C38" s="138"/>
      <c r="D38" s="138"/>
      <c r="E38" s="139"/>
      <c r="F38" s="148"/>
      <c r="G38" s="148"/>
      <c r="H38" s="149"/>
      <c r="I38" s="150"/>
      <c r="J38" s="151"/>
      <c r="K38" s="145">
        <f t="shared" ref="K38:K42" si="2">G38</f>
        <v>0</v>
      </c>
      <c r="L38" s="152"/>
      <c r="M38" s="147"/>
      <c r="V38" s="53"/>
      <c r="W38" s="53"/>
      <c r="X38" s="53"/>
    </row>
    <row r="39" spans="1:28" ht="13.5" customHeight="1" thickBot="1">
      <c r="A39" s="137"/>
      <c r="B39" s="138"/>
      <c r="C39" s="138"/>
      <c r="D39" s="138"/>
      <c r="E39" s="139"/>
      <c r="F39" s="148"/>
      <c r="G39" s="148"/>
      <c r="H39" s="149"/>
      <c r="I39" s="150"/>
      <c r="J39" s="151"/>
      <c r="K39" s="145">
        <f t="shared" si="2"/>
        <v>0</v>
      </c>
      <c r="L39" s="152"/>
      <c r="M39" s="147"/>
      <c r="V39" s="53"/>
      <c r="W39" s="53"/>
      <c r="X39" s="53"/>
    </row>
    <row r="40" spans="1:28" ht="13.5" customHeight="1" thickBot="1">
      <c r="A40" s="137"/>
      <c r="B40" s="138"/>
      <c r="C40" s="138"/>
      <c r="D40" s="138"/>
      <c r="E40" s="139"/>
      <c r="F40" s="148"/>
      <c r="G40" s="148"/>
      <c r="H40" s="149"/>
      <c r="I40" s="150"/>
      <c r="J40" s="151"/>
      <c r="K40" s="145">
        <f t="shared" si="2"/>
        <v>0</v>
      </c>
      <c r="L40" s="152"/>
      <c r="M40" s="147"/>
      <c r="V40" s="53"/>
      <c r="W40" s="53"/>
      <c r="X40" s="53"/>
    </row>
    <row r="41" spans="1:28" ht="13.5" customHeight="1" thickBot="1">
      <c r="A41" s="137"/>
      <c r="B41" s="138"/>
      <c r="C41" s="138"/>
      <c r="D41" s="138"/>
      <c r="E41" s="139"/>
      <c r="F41" s="148"/>
      <c r="G41" s="148"/>
      <c r="H41" s="149"/>
      <c r="I41" s="150"/>
      <c r="J41" s="151"/>
      <c r="K41" s="145">
        <f t="shared" si="2"/>
        <v>0</v>
      </c>
      <c r="L41" s="152"/>
      <c r="M41" s="147"/>
      <c r="V41" s="53"/>
      <c r="W41" s="53"/>
      <c r="X41" s="53"/>
    </row>
    <row r="42" spans="1:28" ht="13.5" customHeight="1" thickBot="1">
      <c r="A42" s="153"/>
      <c r="B42" s="154"/>
      <c r="C42" s="154"/>
      <c r="D42" s="154"/>
      <c r="E42" s="155"/>
      <c r="F42" s="148"/>
      <c r="G42" s="148"/>
      <c r="H42" s="149"/>
      <c r="I42" s="150"/>
      <c r="J42" s="151"/>
      <c r="K42" s="145">
        <f t="shared" si="2"/>
        <v>0</v>
      </c>
      <c r="L42" s="152"/>
      <c r="M42" s="147"/>
      <c r="V42" s="53"/>
      <c r="W42" s="53"/>
      <c r="X42" s="53"/>
    </row>
    <row r="43" spans="1:28" ht="13.8" thickBot="1">
      <c r="A43" s="156" t="s">
        <v>77</v>
      </c>
      <c r="B43" s="157"/>
      <c r="C43" s="157"/>
      <c r="D43" s="157"/>
      <c r="E43" s="157"/>
      <c r="F43" s="158"/>
      <c r="G43" s="158"/>
      <c r="H43" s="158"/>
      <c r="I43" s="158"/>
      <c r="J43" s="159"/>
      <c r="K43" s="160">
        <f>SUM(K37:K42)</f>
        <v>25920</v>
      </c>
      <c r="L43" s="160">
        <f>SUM(L38+L38)</f>
        <v>0</v>
      </c>
      <c r="M43" s="161"/>
      <c r="V43" s="53"/>
    </row>
    <row r="44" spans="1:28" ht="12.75" customHeight="1" thickBot="1"/>
    <row r="45" spans="1:28" ht="12.75" customHeight="1" thickBot="1">
      <c r="A45" s="162" t="s">
        <v>72</v>
      </c>
      <c r="B45" s="162" t="s">
        <v>78</v>
      </c>
      <c r="C45" s="163"/>
      <c r="D45" s="164" t="s">
        <v>79</v>
      </c>
      <c r="E45" s="163" t="s">
        <v>80</v>
      </c>
      <c r="F45" s="165" t="s">
        <v>81</v>
      </c>
      <c r="G45" s="166"/>
      <c r="H45" s="164" t="s">
        <v>82</v>
      </c>
      <c r="I45" s="167" t="s">
        <v>83</v>
      </c>
      <c r="J45" s="168"/>
      <c r="K45" s="164" t="s">
        <v>84</v>
      </c>
      <c r="L45" s="162" t="s">
        <v>85</v>
      </c>
      <c r="M45" s="165"/>
      <c r="N45" s="166"/>
      <c r="O45" s="164" t="s">
        <v>86</v>
      </c>
      <c r="P45" s="164" t="s">
        <v>87</v>
      </c>
      <c r="Q45" s="164" t="s">
        <v>88</v>
      </c>
      <c r="S45" s="169" t="s">
        <v>89</v>
      </c>
      <c r="T45" s="170"/>
      <c r="U45" s="170"/>
      <c r="V45" s="170"/>
      <c r="W45" s="170"/>
      <c r="X45" s="170"/>
      <c r="Y45" s="170"/>
      <c r="Z45" s="170"/>
      <c r="AA45" s="171"/>
    </row>
    <row r="46" spans="1:28" s="23" customFormat="1" ht="25.5" customHeight="1" thickBot="1">
      <c r="A46" s="172"/>
      <c r="B46" s="172"/>
      <c r="C46" s="173"/>
      <c r="D46" s="174"/>
      <c r="E46" s="175"/>
      <c r="F46" s="176"/>
      <c r="G46" s="177"/>
      <c r="H46" s="178"/>
      <c r="I46" s="179" t="s">
        <v>90</v>
      </c>
      <c r="J46" s="180" t="s">
        <v>91</v>
      </c>
      <c r="K46" s="174"/>
      <c r="L46" s="172"/>
      <c r="M46" s="181"/>
      <c r="N46" s="182"/>
      <c r="O46" s="174"/>
      <c r="P46" s="174"/>
      <c r="Q46" s="174"/>
      <c r="R46" s="3"/>
      <c r="S46" s="183" t="s">
        <v>92</v>
      </c>
      <c r="T46" s="183" t="s">
        <v>61</v>
      </c>
      <c r="U46" s="183" t="s">
        <v>62</v>
      </c>
      <c r="V46" s="183" t="s">
        <v>63</v>
      </c>
      <c r="W46" s="183" t="s">
        <v>64</v>
      </c>
      <c r="X46" s="183" t="s">
        <v>65</v>
      </c>
      <c r="Y46" s="183" t="s">
        <v>66</v>
      </c>
      <c r="Z46" s="183" t="s">
        <v>67</v>
      </c>
    </row>
    <row r="47" spans="1:28" s="199" customFormat="1" ht="29.25" customHeight="1" thickBot="1">
      <c r="A47" s="184" t="str">
        <f>A37</f>
        <v>Груша Джус</v>
      </c>
      <c r="B47" s="185">
        <f>B21</f>
        <v>0.33333333333333331</v>
      </c>
      <c r="C47" s="185">
        <f>B47+1/24</f>
        <v>0.375</v>
      </c>
      <c r="D47" s="186"/>
      <c r="E47" s="187"/>
      <c r="F47" s="188" t="s">
        <v>93</v>
      </c>
      <c r="G47" s="189"/>
      <c r="H47" s="190" t="s">
        <v>40</v>
      </c>
      <c r="I47" s="191">
        <v>0.375</v>
      </c>
      <c r="J47" s="191">
        <v>0.53472222222222221</v>
      </c>
      <c r="K47" s="192">
        <f>(J47-I47+(J47&lt;I47))*24*60</f>
        <v>229.99999999999997</v>
      </c>
      <c r="L47" s="193" t="s">
        <v>94</v>
      </c>
      <c r="M47" s="194"/>
      <c r="N47" s="195"/>
      <c r="O47" s="196" t="str">
        <f t="shared" ref="O47:O110" si="3">IF(H47=$V$5,$F$7,"")</f>
        <v/>
      </c>
      <c r="P47" s="187"/>
      <c r="Q47" s="197"/>
      <c r="R47" s="3"/>
      <c r="S47" s="198">
        <f>IF($H47="ПЛАНОВЫЕ",$K47,0)</f>
        <v>0</v>
      </c>
      <c r="T47" s="198">
        <f>IF($H47="ПРОИЗВОДСТВЕННЫЕ",$K47,0)</f>
        <v>0</v>
      </c>
      <c r="U47" s="198">
        <f>IF($H47="ТЕХНИЧЕСКИЕ",$K47,0)</f>
        <v>0</v>
      </c>
      <c r="V47" s="198">
        <f>IF($H47="ТЕХНОЛОГИЧЕСКИЕ",$K47,0)</f>
        <v>0</v>
      </c>
      <c r="W47" s="198">
        <f>IF($H47="ЛАБОРАТОРНЫЕ",$K47,0)</f>
        <v>0</v>
      </c>
      <c r="X47" s="198">
        <f>IF($H47="СЫРЬЕВЫЕ",$K47,0)</f>
        <v>0</v>
      </c>
      <c r="Y47" s="198">
        <f>IF($H47="ЛОГИСТИЧЕСКИЕ",$K47,0)</f>
        <v>0</v>
      </c>
      <c r="Z47" s="198">
        <f>IF($H47="ОБЩЕЗАВОДСКИЕ",$K47,0)</f>
        <v>229.99999999999997</v>
      </c>
      <c r="AB47" s="200"/>
    </row>
    <row r="48" spans="1:28" s="199" customFormat="1" ht="29.25" customHeight="1">
      <c r="A48" s="201"/>
      <c r="B48" s="202">
        <f>C47</f>
        <v>0.375</v>
      </c>
      <c r="C48" s="202">
        <f>B48+1/24</f>
        <v>0.41666666666666669</v>
      </c>
      <c r="D48" s="203"/>
      <c r="E48" s="204"/>
      <c r="F48" s="205" t="s">
        <v>95</v>
      </c>
      <c r="G48" s="206"/>
      <c r="H48" s="190" t="s">
        <v>40</v>
      </c>
      <c r="I48" s="207">
        <v>0.54166666666666663</v>
      </c>
      <c r="J48" s="207">
        <v>0.70138888888888884</v>
      </c>
      <c r="K48" s="208">
        <f t="shared" ref="K48:K111" si="4">(J48-I48+(J48&lt;I48))*24*60</f>
        <v>229.99999999999997</v>
      </c>
      <c r="L48" s="209"/>
      <c r="M48" s="210"/>
      <c r="N48" s="211"/>
      <c r="O48" s="212" t="str">
        <f t="shared" si="3"/>
        <v/>
      </c>
      <c r="P48" s="204"/>
      <c r="Q48" s="213"/>
      <c r="R48" s="3"/>
      <c r="S48" s="198">
        <f t="shared" ref="S48:S111" si="5">IF($H48="ПЛАНОВЫЕ",$K48,0)</f>
        <v>0</v>
      </c>
      <c r="T48" s="198">
        <f t="shared" ref="T48:T111" si="6">IF($H48="ПРОИЗВОДСТВЕННЫЕ",$K48,0)</f>
        <v>0</v>
      </c>
      <c r="U48" s="198">
        <f t="shared" ref="U48:U111" si="7">IF($H48="ТЕХНИЧЕСКИЕ",$K48,0)</f>
        <v>0</v>
      </c>
      <c r="V48" s="198">
        <f t="shared" ref="V48:V111" si="8">IF($H48="ТЕХНОЛОГИЧЕСКИЕ",$K48,0)</f>
        <v>0</v>
      </c>
      <c r="W48" s="198">
        <f t="shared" ref="W48:W111" si="9">IF($H48="ЛАБОРАТОРНЫЕ",$K48,0)</f>
        <v>0</v>
      </c>
      <c r="X48" s="198">
        <f t="shared" ref="X48:X111" si="10">IF($H48="СЫРЬЕВЫЕ",$K48,0)</f>
        <v>0</v>
      </c>
      <c r="Y48" s="198">
        <f t="shared" ref="Y48:Y111" si="11">IF($H48="ЛОГИСТИЧЕСКИЕ",$K48,0)</f>
        <v>0</v>
      </c>
      <c r="Z48" s="198">
        <f t="shared" ref="Z48:Z111" si="12">IF($H48="ОБЩЕЗАВОДСКИЕ",$K48,0)</f>
        <v>229.99999999999997</v>
      </c>
      <c r="AB48" s="200"/>
    </row>
    <row r="49" spans="1:28" s="199" customFormat="1" ht="29.25" customHeight="1">
      <c r="A49" s="201"/>
      <c r="B49" s="202">
        <f t="shared" ref="B49:B58" si="13">C48</f>
        <v>0.41666666666666669</v>
      </c>
      <c r="C49" s="202">
        <f t="shared" ref="C49:C58" si="14">B49+1/24</f>
        <v>0.45833333333333337</v>
      </c>
      <c r="D49" s="203"/>
      <c r="E49" s="204"/>
      <c r="F49" s="205" t="s">
        <v>96</v>
      </c>
      <c r="G49" s="206"/>
      <c r="H49" s="214" t="s">
        <v>6</v>
      </c>
      <c r="I49" s="207">
        <v>0.75347222222222221</v>
      </c>
      <c r="J49" s="207">
        <v>0.75694444444444453</v>
      </c>
      <c r="K49" s="208">
        <f t="shared" si="4"/>
        <v>5.0000000000001421</v>
      </c>
      <c r="L49" s="209"/>
      <c r="M49" s="210"/>
      <c r="N49" s="211"/>
      <c r="O49" s="212" t="str">
        <f t="shared" si="3"/>
        <v/>
      </c>
      <c r="P49" s="204"/>
      <c r="Q49" s="213"/>
      <c r="R49" s="3"/>
      <c r="S49" s="198">
        <f t="shared" si="5"/>
        <v>5.0000000000001421</v>
      </c>
      <c r="T49" s="198">
        <f t="shared" si="6"/>
        <v>0</v>
      </c>
      <c r="U49" s="198">
        <f t="shared" si="7"/>
        <v>0</v>
      </c>
      <c r="V49" s="198">
        <f t="shared" si="8"/>
        <v>0</v>
      </c>
      <c r="W49" s="198">
        <f t="shared" si="9"/>
        <v>0</v>
      </c>
      <c r="X49" s="198">
        <f t="shared" si="10"/>
        <v>0</v>
      </c>
      <c r="Y49" s="198">
        <f t="shared" si="11"/>
        <v>0</v>
      </c>
      <c r="Z49" s="198">
        <f t="shared" si="12"/>
        <v>0</v>
      </c>
      <c r="AB49" s="200"/>
    </row>
    <row r="50" spans="1:28" s="199" customFormat="1" ht="29.25" customHeight="1">
      <c r="A50" s="201"/>
      <c r="B50" s="202">
        <f t="shared" si="13"/>
        <v>0.45833333333333337</v>
      </c>
      <c r="C50" s="202">
        <f t="shared" si="14"/>
        <v>0.5</v>
      </c>
      <c r="D50" s="203"/>
      <c r="E50" s="204"/>
      <c r="F50" s="215" t="s">
        <v>97</v>
      </c>
      <c r="G50" s="215"/>
      <c r="H50" s="214" t="s">
        <v>6</v>
      </c>
      <c r="I50" s="207">
        <v>0.75694444444444453</v>
      </c>
      <c r="J50" s="207">
        <v>0.76041666666666663</v>
      </c>
      <c r="K50" s="208">
        <f t="shared" si="4"/>
        <v>4.9999999999998224</v>
      </c>
      <c r="L50" s="209"/>
      <c r="M50" s="210"/>
      <c r="N50" s="211"/>
      <c r="O50" s="212" t="str">
        <f t="shared" si="3"/>
        <v/>
      </c>
      <c r="P50" s="204"/>
      <c r="Q50" s="213"/>
      <c r="R50" s="3"/>
      <c r="S50" s="198">
        <f t="shared" si="5"/>
        <v>4.9999999999998224</v>
      </c>
      <c r="T50" s="198">
        <f t="shared" si="6"/>
        <v>0</v>
      </c>
      <c r="U50" s="198">
        <f t="shared" si="7"/>
        <v>0</v>
      </c>
      <c r="V50" s="198">
        <f t="shared" si="8"/>
        <v>0</v>
      </c>
      <c r="W50" s="198">
        <f t="shared" si="9"/>
        <v>0</v>
      </c>
      <c r="X50" s="198">
        <f t="shared" si="10"/>
        <v>0</v>
      </c>
      <c r="Y50" s="198">
        <f t="shared" si="11"/>
        <v>0</v>
      </c>
      <c r="Z50" s="198">
        <f t="shared" si="12"/>
        <v>0</v>
      </c>
      <c r="AB50" s="200"/>
    </row>
    <row r="51" spans="1:28" s="199" customFormat="1" ht="29.25" customHeight="1">
      <c r="A51" s="201"/>
      <c r="B51" s="202">
        <f t="shared" si="13"/>
        <v>0.5</v>
      </c>
      <c r="C51" s="202">
        <f t="shared" si="14"/>
        <v>0.54166666666666663</v>
      </c>
      <c r="D51" s="203"/>
      <c r="E51" s="204"/>
      <c r="F51" s="215" t="s">
        <v>98</v>
      </c>
      <c r="G51" s="215"/>
      <c r="H51" s="214" t="s">
        <v>6</v>
      </c>
      <c r="I51" s="207">
        <v>0.76041666666666663</v>
      </c>
      <c r="J51" s="207">
        <v>0.77083333333333337</v>
      </c>
      <c r="K51" s="208">
        <f t="shared" si="4"/>
        <v>15.000000000000107</v>
      </c>
      <c r="L51" s="209"/>
      <c r="M51" s="210"/>
      <c r="N51" s="211"/>
      <c r="O51" s="212" t="str">
        <f t="shared" si="3"/>
        <v/>
      </c>
      <c r="P51" s="204"/>
      <c r="Q51" s="213"/>
      <c r="R51" s="3"/>
      <c r="S51" s="198">
        <f t="shared" si="5"/>
        <v>15.000000000000107</v>
      </c>
      <c r="T51" s="198">
        <f t="shared" si="6"/>
        <v>0</v>
      </c>
      <c r="U51" s="198">
        <f t="shared" si="7"/>
        <v>0</v>
      </c>
      <c r="V51" s="198">
        <f t="shared" si="8"/>
        <v>0</v>
      </c>
      <c r="W51" s="198">
        <f t="shared" si="9"/>
        <v>0</v>
      </c>
      <c r="X51" s="198">
        <f t="shared" si="10"/>
        <v>0</v>
      </c>
      <c r="Y51" s="198">
        <f t="shared" si="11"/>
        <v>0</v>
      </c>
      <c r="Z51" s="198">
        <f t="shared" si="12"/>
        <v>0</v>
      </c>
      <c r="AB51" s="200"/>
    </row>
    <row r="52" spans="1:28" s="199" customFormat="1" ht="29.25" customHeight="1">
      <c r="A52" s="201"/>
      <c r="B52" s="202">
        <f t="shared" si="13"/>
        <v>0.54166666666666663</v>
      </c>
      <c r="C52" s="202">
        <f t="shared" si="14"/>
        <v>0.58333333333333326</v>
      </c>
      <c r="D52" s="203"/>
      <c r="E52" s="204"/>
      <c r="F52" s="215"/>
      <c r="G52" s="215"/>
      <c r="H52" s="214"/>
      <c r="I52" s="207"/>
      <c r="J52" s="207"/>
      <c r="K52" s="208">
        <f t="shared" si="4"/>
        <v>0</v>
      </c>
      <c r="L52" s="209"/>
      <c r="M52" s="210"/>
      <c r="N52" s="211"/>
      <c r="O52" s="212" t="str">
        <f t="shared" si="3"/>
        <v/>
      </c>
      <c r="P52" s="204"/>
      <c r="Q52" s="213"/>
      <c r="R52" s="3"/>
      <c r="S52" s="198">
        <f t="shared" si="5"/>
        <v>0</v>
      </c>
      <c r="T52" s="198">
        <f t="shared" si="6"/>
        <v>0</v>
      </c>
      <c r="U52" s="198">
        <f t="shared" si="7"/>
        <v>0</v>
      </c>
      <c r="V52" s="198">
        <f t="shared" si="8"/>
        <v>0</v>
      </c>
      <c r="W52" s="198">
        <f t="shared" si="9"/>
        <v>0</v>
      </c>
      <c r="X52" s="198">
        <f t="shared" si="10"/>
        <v>0</v>
      </c>
      <c r="Y52" s="198">
        <f t="shared" si="11"/>
        <v>0</v>
      </c>
      <c r="Z52" s="198">
        <f t="shared" si="12"/>
        <v>0</v>
      </c>
      <c r="AB52" s="200"/>
    </row>
    <row r="53" spans="1:28" s="199" customFormat="1" ht="29.25" customHeight="1">
      <c r="A53" s="201"/>
      <c r="B53" s="202">
        <f t="shared" si="13"/>
        <v>0.58333333333333326</v>
      </c>
      <c r="C53" s="202">
        <f t="shared" si="14"/>
        <v>0.62499999999999989</v>
      </c>
      <c r="D53" s="203"/>
      <c r="E53" s="216"/>
      <c r="F53" s="215"/>
      <c r="G53" s="215"/>
      <c r="H53" s="214"/>
      <c r="I53" s="207"/>
      <c r="J53" s="207"/>
      <c r="K53" s="208">
        <f t="shared" si="4"/>
        <v>0</v>
      </c>
      <c r="L53" s="209"/>
      <c r="M53" s="210"/>
      <c r="N53" s="211"/>
      <c r="O53" s="212" t="str">
        <f t="shared" si="3"/>
        <v/>
      </c>
      <c r="P53" s="204"/>
      <c r="Q53" s="213"/>
      <c r="R53" s="3"/>
      <c r="S53" s="198">
        <f t="shared" si="5"/>
        <v>0</v>
      </c>
      <c r="T53" s="198">
        <f t="shared" si="6"/>
        <v>0</v>
      </c>
      <c r="U53" s="198">
        <f t="shared" si="7"/>
        <v>0</v>
      </c>
      <c r="V53" s="198">
        <f t="shared" si="8"/>
        <v>0</v>
      </c>
      <c r="W53" s="198">
        <f t="shared" si="9"/>
        <v>0</v>
      </c>
      <c r="X53" s="198">
        <f t="shared" si="10"/>
        <v>0</v>
      </c>
      <c r="Y53" s="198">
        <f t="shared" si="11"/>
        <v>0</v>
      </c>
      <c r="Z53" s="198">
        <f t="shared" si="12"/>
        <v>0</v>
      </c>
      <c r="AB53" s="200"/>
    </row>
    <row r="54" spans="1:28" s="199" customFormat="1" ht="29.25" customHeight="1">
      <c r="A54" s="201"/>
      <c r="B54" s="202">
        <f t="shared" si="13"/>
        <v>0.62499999999999989</v>
      </c>
      <c r="C54" s="202">
        <f t="shared" si="14"/>
        <v>0.66666666666666652</v>
      </c>
      <c r="D54" s="203"/>
      <c r="E54" s="216"/>
      <c r="F54" s="205"/>
      <c r="G54" s="206"/>
      <c r="H54" s="214"/>
      <c r="I54" s="207"/>
      <c r="J54" s="207"/>
      <c r="K54" s="208">
        <f t="shared" si="4"/>
        <v>0</v>
      </c>
      <c r="L54" s="209"/>
      <c r="M54" s="210"/>
      <c r="N54" s="211"/>
      <c r="O54" s="212" t="str">
        <f t="shared" si="3"/>
        <v/>
      </c>
      <c r="P54" s="204"/>
      <c r="Q54" s="213"/>
      <c r="R54" s="3"/>
      <c r="S54" s="198">
        <f t="shared" si="5"/>
        <v>0</v>
      </c>
      <c r="T54" s="198">
        <f t="shared" si="6"/>
        <v>0</v>
      </c>
      <c r="U54" s="198">
        <f t="shared" si="7"/>
        <v>0</v>
      </c>
      <c r="V54" s="198">
        <f t="shared" si="8"/>
        <v>0</v>
      </c>
      <c r="W54" s="198">
        <f t="shared" si="9"/>
        <v>0</v>
      </c>
      <c r="X54" s="198">
        <f t="shared" si="10"/>
        <v>0</v>
      </c>
      <c r="Y54" s="198">
        <f t="shared" si="11"/>
        <v>0</v>
      </c>
      <c r="Z54" s="198">
        <f t="shared" si="12"/>
        <v>0</v>
      </c>
      <c r="AB54" s="200"/>
    </row>
    <row r="55" spans="1:28" s="199" customFormat="1" ht="29.25" customHeight="1">
      <c r="A55" s="201"/>
      <c r="B55" s="202">
        <f t="shared" si="13"/>
        <v>0.66666666666666652</v>
      </c>
      <c r="C55" s="202">
        <f t="shared" si="14"/>
        <v>0.70833333333333315</v>
      </c>
      <c r="D55" s="203"/>
      <c r="E55" s="216"/>
      <c r="F55" s="205"/>
      <c r="G55" s="206"/>
      <c r="H55" s="214"/>
      <c r="I55" s="207"/>
      <c r="J55" s="207"/>
      <c r="K55" s="208">
        <f t="shared" si="4"/>
        <v>0</v>
      </c>
      <c r="L55" s="209"/>
      <c r="M55" s="210"/>
      <c r="N55" s="211"/>
      <c r="O55" s="212" t="str">
        <f t="shared" si="3"/>
        <v/>
      </c>
      <c r="P55" s="204"/>
      <c r="Q55" s="213"/>
      <c r="R55" s="3"/>
      <c r="S55" s="198">
        <f t="shared" si="5"/>
        <v>0</v>
      </c>
      <c r="T55" s="198">
        <f t="shared" si="6"/>
        <v>0</v>
      </c>
      <c r="U55" s="198">
        <f t="shared" si="7"/>
        <v>0</v>
      </c>
      <c r="V55" s="198">
        <f t="shared" si="8"/>
        <v>0</v>
      </c>
      <c r="W55" s="198">
        <f t="shared" si="9"/>
        <v>0</v>
      </c>
      <c r="X55" s="198">
        <f t="shared" si="10"/>
        <v>0</v>
      </c>
      <c r="Y55" s="198">
        <f t="shared" si="11"/>
        <v>0</v>
      </c>
      <c r="Z55" s="198">
        <f t="shared" si="12"/>
        <v>0</v>
      </c>
      <c r="AB55" s="200"/>
    </row>
    <row r="56" spans="1:28" s="199" customFormat="1" ht="29.25" customHeight="1">
      <c r="A56" s="201"/>
      <c r="B56" s="202">
        <f t="shared" si="13"/>
        <v>0.70833333333333315</v>
      </c>
      <c r="C56" s="202">
        <f t="shared" si="14"/>
        <v>0.74999999999999978</v>
      </c>
      <c r="D56" s="203"/>
      <c r="E56" s="216"/>
      <c r="F56" s="215"/>
      <c r="G56" s="215"/>
      <c r="H56" s="214"/>
      <c r="I56" s="207"/>
      <c r="J56" s="207"/>
      <c r="K56" s="208">
        <f t="shared" si="4"/>
        <v>0</v>
      </c>
      <c r="L56" s="209"/>
      <c r="M56" s="210"/>
      <c r="N56" s="211"/>
      <c r="O56" s="212" t="str">
        <f t="shared" si="3"/>
        <v/>
      </c>
      <c r="P56" s="204"/>
      <c r="Q56" s="213"/>
      <c r="R56" s="3"/>
      <c r="S56" s="198">
        <f t="shared" si="5"/>
        <v>0</v>
      </c>
      <c r="T56" s="198">
        <f t="shared" si="6"/>
        <v>0</v>
      </c>
      <c r="U56" s="198">
        <f t="shared" si="7"/>
        <v>0</v>
      </c>
      <c r="V56" s="198">
        <f t="shared" si="8"/>
        <v>0</v>
      </c>
      <c r="W56" s="198">
        <f t="shared" si="9"/>
        <v>0</v>
      </c>
      <c r="X56" s="198">
        <f t="shared" si="10"/>
        <v>0</v>
      </c>
      <c r="Y56" s="198">
        <f t="shared" si="11"/>
        <v>0</v>
      </c>
      <c r="Z56" s="198">
        <f t="shared" si="12"/>
        <v>0</v>
      </c>
      <c r="AB56" s="200"/>
    </row>
    <row r="57" spans="1:28" s="199" customFormat="1" ht="29.25" customHeight="1">
      <c r="A57" s="201"/>
      <c r="B57" s="202">
        <f t="shared" si="13"/>
        <v>0.74999999999999978</v>
      </c>
      <c r="C57" s="202">
        <f t="shared" si="14"/>
        <v>0.79166666666666641</v>
      </c>
      <c r="D57" s="217"/>
      <c r="E57" s="216"/>
      <c r="F57" s="215"/>
      <c r="G57" s="215"/>
      <c r="H57" s="214"/>
      <c r="I57" s="207"/>
      <c r="J57" s="207"/>
      <c r="K57" s="208">
        <f t="shared" si="4"/>
        <v>0</v>
      </c>
      <c r="L57" s="209"/>
      <c r="M57" s="210"/>
      <c r="N57" s="211"/>
      <c r="O57" s="212" t="str">
        <f t="shared" si="3"/>
        <v/>
      </c>
      <c r="P57" s="204"/>
      <c r="Q57" s="213"/>
      <c r="R57" s="3"/>
      <c r="S57" s="198">
        <f t="shared" si="5"/>
        <v>0</v>
      </c>
      <c r="T57" s="198">
        <f t="shared" si="6"/>
        <v>0</v>
      </c>
      <c r="U57" s="198">
        <f t="shared" si="7"/>
        <v>0</v>
      </c>
      <c r="V57" s="198">
        <f t="shared" si="8"/>
        <v>0</v>
      </c>
      <c r="W57" s="198">
        <f t="shared" si="9"/>
        <v>0</v>
      </c>
      <c r="X57" s="198">
        <f t="shared" si="10"/>
        <v>0</v>
      </c>
      <c r="Y57" s="198">
        <f t="shared" si="11"/>
        <v>0</v>
      </c>
      <c r="Z57" s="198">
        <f t="shared" si="12"/>
        <v>0</v>
      </c>
      <c r="AB57" s="200"/>
    </row>
    <row r="58" spans="1:28" s="199" customFormat="1" ht="29.25" customHeight="1" thickBot="1">
      <c r="A58" s="218"/>
      <c r="B58" s="219">
        <f t="shared" si="13"/>
        <v>0.79166666666666641</v>
      </c>
      <c r="C58" s="220">
        <f t="shared" si="14"/>
        <v>0.83333333333333304</v>
      </c>
      <c r="D58" s="221"/>
      <c r="E58" s="221"/>
      <c r="F58" s="222"/>
      <c r="G58" s="222"/>
      <c r="H58" s="214"/>
      <c r="I58" s="223"/>
      <c r="J58" s="223"/>
      <c r="K58" s="224">
        <f t="shared" si="4"/>
        <v>0</v>
      </c>
      <c r="L58" s="225"/>
      <c r="M58" s="226"/>
      <c r="N58" s="227"/>
      <c r="O58" s="204" t="str">
        <f t="shared" si="3"/>
        <v/>
      </c>
      <c r="P58" s="228"/>
      <c r="Q58" s="229"/>
      <c r="R58" s="3"/>
      <c r="S58" s="198">
        <f t="shared" si="5"/>
        <v>0</v>
      </c>
      <c r="T58" s="198">
        <f t="shared" si="6"/>
        <v>0</v>
      </c>
      <c r="U58" s="198">
        <f t="shared" si="7"/>
        <v>0</v>
      </c>
      <c r="V58" s="198">
        <f t="shared" si="8"/>
        <v>0</v>
      </c>
      <c r="W58" s="198">
        <f t="shared" si="9"/>
        <v>0</v>
      </c>
      <c r="X58" s="198">
        <f t="shared" si="10"/>
        <v>0</v>
      </c>
      <c r="Y58" s="198">
        <f t="shared" si="11"/>
        <v>0</v>
      </c>
      <c r="Z58" s="198">
        <f t="shared" si="12"/>
        <v>0</v>
      </c>
      <c r="AB58" s="200"/>
    </row>
    <row r="59" spans="1:28" s="199" customFormat="1" ht="29.25" customHeight="1">
      <c r="A59" s="184">
        <f>A38</f>
        <v>0</v>
      </c>
      <c r="B59" s="185">
        <f>B23</f>
        <v>0</v>
      </c>
      <c r="C59" s="185">
        <f>B59+1/24</f>
        <v>4.1666666666666664E-2</v>
      </c>
      <c r="D59" s="186"/>
      <c r="E59" s="187"/>
      <c r="F59" s="188"/>
      <c r="G59" s="189"/>
      <c r="H59" s="190"/>
      <c r="I59" s="191"/>
      <c r="J59" s="191"/>
      <c r="K59" s="192">
        <f t="shared" si="4"/>
        <v>0</v>
      </c>
      <c r="L59" s="193"/>
      <c r="M59" s="194"/>
      <c r="N59" s="195"/>
      <c r="O59" s="196" t="str">
        <f t="shared" si="3"/>
        <v/>
      </c>
      <c r="P59" s="187"/>
      <c r="Q59" s="197"/>
      <c r="R59" s="3"/>
      <c r="S59" s="198">
        <f t="shared" si="5"/>
        <v>0</v>
      </c>
      <c r="T59" s="198">
        <f t="shared" si="6"/>
        <v>0</v>
      </c>
      <c r="U59" s="198">
        <f t="shared" si="7"/>
        <v>0</v>
      </c>
      <c r="V59" s="198">
        <f t="shared" si="8"/>
        <v>0</v>
      </c>
      <c r="W59" s="198">
        <f t="shared" si="9"/>
        <v>0</v>
      </c>
      <c r="X59" s="198">
        <f t="shared" si="10"/>
        <v>0</v>
      </c>
      <c r="Y59" s="198">
        <f t="shared" si="11"/>
        <v>0</v>
      </c>
      <c r="Z59" s="198">
        <f t="shared" si="12"/>
        <v>0</v>
      </c>
      <c r="AB59" s="200"/>
    </row>
    <row r="60" spans="1:28" s="199" customFormat="1" ht="29.25" customHeight="1">
      <c r="A60" s="201"/>
      <c r="B60" s="202">
        <f>C59</f>
        <v>4.1666666666666664E-2</v>
      </c>
      <c r="C60" s="202">
        <f>B60+1/24</f>
        <v>8.3333333333333329E-2</v>
      </c>
      <c r="D60" s="203"/>
      <c r="E60" s="204"/>
      <c r="F60" s="205"/>
      <c r="G60" s="206"/>
      <c r="H60" s="214"/>
      <c r="I60" s="207"/>
      <c r="J60" s="207"/>
      <c r="K60" s="208">
        <f t="shared" si="4"/>
        <v>0</v>
      </c>
      <c r="L60" s="209"/>
      <c r="M60" s="210"/>
      <c r="N60" s="211"/>
      <c r="O60" s="212" t="str">
        <f t="shared" si="3"/>
        <v/>
      </c>
      <c r="P60" s="204"/>
      <c r="Q60" s="213"/>
      <c r="R60" s="3"/>
      <c r="S60" s="198">
        <f t="shared" si="5"/>
        <v>0</v>
      </c>
      <c r="T60" s="198">
        <f t="shared" si="6"/>
        <v>0</v>
      </c>
      <c r="U60" s="198">
        <f t="shared" si="7"/>
        <v>0</v>
      </c>
      <c r="V60" s="198">
        <f t="shared" si="8"/>
        <v>0</v>
      </c>
      <c r="W60" s="198">
        <f t="shared" si="9"/>
        <v>0</v>
      </c>
      <c r="X60" s="198">
        <f t="shared" si="10"/>
        <v>0</v>
      </c>
      <c r="Y60" s="198">
        <f t="shared" si="11"/>
        <v>0</v>
      </c>
      <c r="Z60" s="198">
        <f t="shared" si="12"/>
        <v>0</v>
      </c>
      <c r="AB60" s="200"/>
    </row>
    <row r="61" spans="1:28" s="199" customFormat="1" ht="29.25" customHeight="1">
      <c r="A61" s="201"/>
      <c r="B61" s="202">
        <f t="shared" ref="B61:B69" si="15">C60</f>
        <v>8.3333333333333329E-2</v>
      </c>
      <c r="C61" s="202">
        <f t="shared" ref="C61:C69" si="16">B61+1/24</f>
        <v>0.125</v>
      </c>
      <c r="D61" s="203"/>
      <c r="E61" s="204"/>
      <c r="F61" s="215"/>
      <c r="G61" s="215"/>
      <c r="H61" s="214"/>
      <c r="I61" s="207"/>
      <c r="J61" s="207"/>
      <c r="K61" s="208">
        <f t="shared" si="4"/>
        <v>0</v>
      </c>
      <c r="L61" s="209"/>
      <c r="M61" s="210"/>
      <c r="N61" s="211"/>
      <c r="O61" s="212" t="str">
        <f t="shared" si="3"/>
        <v/>
      </c>
      <c r="P61" s="204"/>
      <c r="Q61" s="213"/>
      <c r="R61" s="3"/>
      <c r="S61" s="198">
        <f t="shared" si="5"/>
        <v>0</v>
      </c>
      <c r="T61" s="198">
        <f t="shared" si="6"/>
        <v>0</v>
      </c>
      <c r="U61" s="198">
        <f t="shared" si="7"/>
        <v>0</v>
      </c>
      <c r="V61" s="198">
        <f t="shared" si="8"/>
        <v>0</v>
      </c>
      <c r="W61" s="198">
        <f t="shared" si="9"/>
        <v>0</v>
      </c>
      <c r="X61" s="198">
        <f t="shared" si="10"/>
        <v>0</v>
      </c>
      <c r="Y61" s="198">
        <f t="shared" si="11"/>
        <v>0</v>
      </c>
      <c r="Z61" s="198">
        <f t="shared" si="12"/>
        <v>0</v>
      </c>
      <c r="AB61" s="200"/>
    </row>
    <row r="62" spans="1:28" s="199" customFormat="1" ht="29.25" customHeight="1">
      <c r="A62" s="201"/>
      <c r="B62" s="202">
        <f t="shared" si="15"/>
        <v>0.125</v>
      </c>
      <c r="C62" s="202">
        <f t="shared" si="16"/>
        <v>0.16666666666666666</v>
      </c>
      <c r="D62" s="203"/>
      <c r="E62" s="204"/>
      <c r="F62" s="215"/>
      <c r="G62" s="215"/>
      <c r="H62" s="214"/>
      <c r="I62" s="207"/>
      <c r="J62" s="207"/>
      <c r="K62" s="208">
        <f t="shared" si="4"/>
        <v>0</v>
      </c>
      <c r="L62" s="209"/>
      <c r="M62" s="210"/>
      <c r="N62" s="211"/>
      <c r="O62" s="212" t="str">
        <f t="shared" si="3"/>
        <v/>
      </c>
      <c r="P62" s="204"/>
      <c r="Q62" s="213"/>
      <c r="R62" s="3"/>
      <c r="S62" s="198">
        <f t="shared" si="5"/>
        <v>0</v>
      </c>
      <c r="T62" s="198">
        <f t="shared" si="6"/>
        <v>0</v>
      </c>
      <c r="U62" s="198">
        <f t="shared" si="7"/>
        <v>0</v>
      </c>
      <c r="V62" s="198">
        <f t="shared" si="8"/>
        <v>0</v>
      </c>
      <c r="W62" s="198">
        <f t="shared" si="9"/>
        <v>0</v>
      </c>
      <c r="X62" s="198">
        <f t="shared" si="10"/>
        <v>0</v>
      </c>
      <c r="Y62" s="198">
        <f t="shared" si="11"/>
        <v>0</v>
      </c>
      <c r="Z62" s="198">
        <f t="shared" si="12"/>
        <v>0</v>
      </c>
      <c r="AB62" s="200"/>
    </row>
    <row r="63" spans="1:28" s="199" customFormat="1" ht="29.25" customHeight="1">
      <c r="A63" s="201"/>
      <c r="B63" s="202">
        <f t="shared" si="15"/>
        <v>0.16666666666666666</v>
      </c>
      <c r="C63" s="202">
        <f t="shared" si="16"/>
        <v>0.20833333333333331</v>
      </c>
      <c r="D63" s="203"/>
      <c r="E63" s="204"/>
      <c r="F63" s="215"/>
      <c r="G63" s="215"/>
      <c r="H63" s="214"/>
      <c r="I63" s="207"/>
      <c r="J63" s="207"/>
      <c r="K63" s="208">
        <f t="shared" si="4"/>
        <v>0</v>
      </c>
      <c r="L63" s="209"/>
      <c r="M63" s="210"/>
      <c r="N63" s="211"/>
      <c r="O63" s="212" t="str">
        <f t="shared" si="3"/>
        <v/>
      </c>
      <c r="P63" s="204"/>
      <c r="Q63" s="213"/>
      <c r="R63" s="3"/>
      <c r="S63" s="198">
        <f t="shared" si="5"/>
        <v>0</v>
      </c>
      <c r="T63" s="198">
        <f t="shared" si="6"/>
        <v>0</v>
      </c>
      <c r="U63" s="198">
        <f t="shared" si="7"/>
        <v>0</v>
      </c>
      <c r="V63" s="198">
        <f t="shared" si="8"/>
        <v>0</v>
      </c>
      <c r="W63" s="198">
        <f t="shared" si="9"/>
        <v>0</v>
      </c>
      <c r="X63" s="198">
        <f t="shared" si="10"/>
        <v>0</v>
      </c>
      <c r="Y63" s="198">
        <f t="shared" si="11"/>
        <v>0</v>
      </c>
      <c r="Z63" s="198">
        <f t="shared" si="12"/>
        <v>0</v>
      </c>
      <c r="AB63" s="200"/>
    </row>
    <row r="64" spans="1:28" s="199" customFormat="1" ht="29.25" customHeight="1">
      <c r="A64" s="201"/>
      <c r="B64" s="202">
        <f t="shared" si="15"/>
        <v>0.20833333333333331</v>
      </c>
      <c r="C64" s="202">
        <f t="shared" si="16"/>
        <v>0.24999999999999997</v>
      </c>
      <c r="D64" s="203"/>
      <c r="E64" s="204"/>
      <c r="F64" s="215"/>
      <c r="G64" s="215"/>
      <c r="H64" s="214"/>
      <c r="I64" s="207"/>
      <c r="J64" s="207"/>
      <c r="K64" s="208">
        <f t="shared" si="4"/>
        <v>0</v>
      </c>
      <c r="L64" s="209"/>
      <c r="M64" s="210"/>
      <c r="N64" s="211"/>
      <c r="O64" s="212" t="str">
        <f t="shared" si="3"/>
        <v/>
      </c>
      <c r="P64" s="204"/>
      <c r="Q64" s="213"/>
      <c r="R64" s="3"/>
      <c r="S64" s="198">
        <f t="shared" si="5"/>
        <v>0</v>
      </c>
      <c r="T64" s="198">
        <f t="shared" si="6"/>
        <v>0</v>
      </c>
      <c r="U64" s="198">
        <f t="shared" si="7"/>
        <v>0</v>
      </c>
      <c r="V64" s="198">
        <f t="shared" si="8"/>
        <v>0</v>
      </c>
      <c r="W64" s="198">
        <f t="shared" si="9"/>
        <v>0</v>
      </c>
      <c r="X64" s="198">
        <f t="shared" si="10"/>
        <v>0</v>
      </c>
      <c r="Y64" s="198">
        <f t="shared" si="11"/>
        <v>0</v>
      </c>
      <c r="Z64" s="198">
        <f t="shared" si="12"/>
        <v>0</v>
      </c>
      <c r="AB64" s="200"/>
    </row>
    <row r="65" spans="1:28" s="199" customFormat="1" ht="29.25" customHeight="1">
      <c r="A65" s="201"/>
      <c r="B65" s="202">
        <f t="shared" si="15"/>
        <v>0.24999999999999997</v>
      </c>
      <c r="C65" s="202">
        <f t="shared" si="16"/>
        <v>0.29166666666666663</v>
      </c>
      <c r="D65" s="203"/>
      <c r="E65" s="216"/>
      <c r="F65" s="215"/>
      <c r="G65" s="215"/>
      <c r="H65" s="214"/>
      <c r="I65" s="207"/>
      <c r="J65" s="207"/>
      <c r="K65" s="208">
        <f t="shared" si="4"/>
        <v>0</v>
      </c>
      <c r="L65" s="209"/>
      <c r="M65" s="210"/>
      <c r="N65" s="211"/>
      <c r="O65" s="212" t="str">
        <f t="shared" si="3"/>
        <v/>
      </c>
      <c r="P65" s="204"/>
      <c r="Q65" s="213"/>
      <c r="R65" s="3"/>
      <c r="S65" s="198">
        <f t="shared" si="5"/>
        <v>0</v>
      </c>
      <c r="T65" s="198">
        <f t="shared" si="6"/>
        <v>0</v>
      </c>
      <c r="U65" s="198">
        <f t="shared" si="7"/>
        <v>0</v>
      </c>
      <c r="V65" s="198">
        <f t="shared" si="8"/>
        <v>0</v>
      </c>
      <c r="W65" s="198">
        <f t="shared" si="9"/>
        <v>0</v>
      </c>
      <c r="X65" s="198">
        <f t="shared" si="10"/>
        <v>0</v>
      </c>
      <c r="Y65" s="198">
        <f t="shared" si="11"/>
        <v>0</v>
      </c>
      <c r="Z65" s="198">
        <f t="shared" si="12"/>
        <v>0</v>
      </c>
      <c r="AB65" s="200"/>
    </row>
    <row r="66" spans="1:28" s="199" customFormat="1" ht="29.25" customHeight="1">
      <c r="A66" s="201"/>
      <c r="B66" s="202">
        <f t="shared" si="15"/>
        <v>0.29166666666666663</v>
      </c>
      <c r="C66" s="202">
        <f t="shared" si="16"/>
        <v>0.33333333333333331</v>
      </c>
      <c r="D66" s="203"/>
      <c r="E66" s="216"/>
      <c r="F66" s="205"/>
      <c r="G66" s="206"/>
      <c r="H66" s="214"/>
      <c r="I66" s="207"/>
      <c r="J66" s="207"/>
      <c r="K66" s="208">
        <f t="shared" si="4"/>
        <v>0</v>
      </c>
      <c r="L66" s="209"/>
      <c r="M66" s="210"/>
      <c r="N66" s="211"/>
      <c r="O66" s="212" t="str">
        <f t="shared" si="3"/>
        <v/>
      </c>
      <c r="P66" s="204"/>
      <c r="Q66" s="213"/>
      <c r="R66" s="3"/>
      <c r="S66" s="198">
        <f t="shared" si="5"/>
        <v>0</v>
      </c>
      <c r="T66" s="198">
        <f t="shared" si="6"/>
        <v>0</v>
      </c>
      <c r="U66" s="198">
        <f t="shared" si="7"/>
        <v>0</v>
      </c>
      <c r="V66" s="198">
        <f t="shared" si="8"/>
        <v>0</v>
      </c>
      <c r="W66" s="198">
        <f t="shared" si="9"/>
        <v>0</v>
      </c>
      <c r="X66" s="198">
        <f t="shared" si="10"/>
        <v>0</v>
      </c>
      <c r="Y66" s="198">
        <f t="shared" si="11"/>
        <v>0</v>
      </c>
      <c r="Z66" s="198">
        <f t="shared" si="12"/>
        <v>0</v>
      </c>
      <c r="AB66" s="200"/>
    </row>
    <row r="67" spans="1:28" s="199" customFormat="1" ht="29.25" customHeight="1">
      <c r="A67" s="201"/>
      <c r="B67" s="202">
        <f t="shared" si="15"/>
        <v>0.33333333333333331</v>
      </c>
      <c r="C67" s="202">
        <f t="shared" si="16"/>
        <v>0.375</v>
      </c>
      <c r="D67" s="203"/>
      <c r="E67" s="216"/>
      <c r="F67" s="205"/>
      <c r="G67" s="206"/>
      <c r="H67" s="214"/>
      <c r="I67" s="207"/>
      <c r="J67" s="207"/>
      <c r="K67" s="208">
        <f t="shared" si="4"/>
        <v>0</v>
      </c>
      <c r="L67" s="209"/>
      <c r="M67" s="210"/>
      <c r="N67" s="211"/>
      <c r="O67" s="212" t="str">
        <f t="shared" si="3"/>
        <v/>
      </c>
      <c r="P67" s="204"/>
      <c r="Q67" s="213"/>
      <c r="R67" s="3"/>
      <c r="S67" s="198">
        <f t="shared" si="5"/>
        <v>0</v>
      </c>
      <c r="T67" s="198">
        <f t="shared" si="6"/>
        <v>0</v>
      </c>
      <c r="U67" s="198">
        <f t="shared" si="7"/>
        <v>0</v>
      </c>
      <c r="V67" s="198">
        <f t="shared" si="8"/>
        <v>0</v>
      </c>
      <c r="W67" s="198">
        <f t="shared" si="9"/>
        <v>0</v>
      </c>
      <c r="X67" s="198">
        <f t="shared" si="10"/>
        <v>0</v>
      </c>
      <c r="Y67" s="198">
        <f t="shared" si="11"/>
        <v>0</v>
      </c>
      <c r="Z67" s="198">
        <f t="shared" si="12"/>
        <v>0</v>
      </c>
      <c r="AB67" s="200"/>
    </row>
    <row r="68" spans="1:28" s="199" customFormat="1" ht="29.25" customHeight="1">
      <c r="A68" s="201"/>
      <c r="B68" s="202">
        <f t="shared" si="15"/>
        <v>0.375</v>
      </c>
      <c r="C68" s="202">
        <f t="shared" si="16"/>
        <v>0.41666666666666669</v>
      </c>
      <c r="D68" s="203"/>
      <c r="E68" s="216"/>
      <c r="F68" s="215"/>
      <c r="G68" s="215"/>
      <c r="H68" s="214"/>
      <c r="I68" s="207"/>
      <c r="J68" s="207"/>
      <c r="K68" s="208">
        <f t="shared" si="4"/>
        <v>0</v>
      </c>
      <c r="L68" s="209"/>
      <c r="M68" s="210"/>
      <c r="N68" s="211"/>
      <c r="O68" s="212" t="str">
        <f t="shared" si="3"/>
        <v/>
      </c>
      <c r="P68" s="204"/>
      <c r="Q68" s="213"/>
      <c r="R68" s="3"/>
      <c r="S68" s="198">
        <f t="shared" si="5"/>
        <v>0</v>
      </c>
      <c r="T68" s="198">
        <f t="shared" si="6"/>
        <v>0</v>
      </c>
      <c r="U68" s="198">
        <f t="shared" si="7"/>
        <v>0</v>
      </c>
      <c r="V68" s="198">
        <f t="shared" si="8"/>
        <v>0</v>
      </c>
      <c r="W68" s="198">
        <f t="shared" si="9"/>
        <v>0</v>
      </c>
      <c r="X68" s="198">
        <f t="shared" si="10"/>
        <v>0</v>
      </c>
      <c r="Y68" s="198">
        <f t="shared" si="11"/>
        <v>0</v>
      </c>
      <c r="Z68" s="198">
        <f t="shared" si="12"/>
        <v>0</v>
      </c>
      <c r="AB68" s="200"/>
    </row>
    <row r="69" spans="1:28" s="199" customFormat="1" ht="29.25" customHeight="1" thickBot="1">
      <c r="A69" s="218"/>
      <c r="B69" s="219">
        <f t="shared" si="15"/>
        <v>0.41666666666666669</v>
      </c>
      <c r="C69" s="219">
        <f t="shared" si="16"/>
        <v>0.45833333333333337</v>
      </c>
      <c r="D69" s="230"/>
      <c r="E69" s="221"/>
      <c r="F69" s="222"/>
      <c r="G69" s="222"/>
      <c r="H69" s="231"/>
      <c r="I69" s="223"/>
      <c r="J69" s="223"/>
      <c r="K69" s="224">
        <f t="shared" si="4"/>
        <v>0</v>
      </c>
      <c r="L69" s="225"/>
      <c r="M69" s="226"/>
      <c r="N69" s="227"/>
      <c r="O69" s="204" t="str">
        <f t="shared" si="3"/>
        <v/>
      </c>
      <c r="P69" s="228"/>
      <c r="Q69" s="229"/>
      <c r="R69" s="3"/>
      <c r="S69" s="198">
        <f t="shared" si="5"/>
        <v>0</v>
      </c>
      <c r="T69" s="198">
        <f t="shared" si="6"/>
        <v>0</v>
      </c>
      <c r="U69" s="198">
        <f t="shared" si="7"/>
        <v>0</v>
      </c>
      <c r="V69" s="198">
        <f t="shared" si="8"/>
        <v>0</v>
      </c>
      <c r="W69" s="198">
        <f t="shared" si="9"/>
        <v>0</v>
      </c>
      <c r="X69" s="198">
        <f t="shared" si="10"/>
        <v>0</v>
      </c>
      <c r="Y69" s="198">
        <f t="shared" si="11"/>
        <v>0</v>
      </c>
      <c r="Z69" s="198">
        <f t="shared" si="12"/>
        <v>0</v>
      </c>
      <c r="AB69" s="200"/>
    </row>
    <row r="70" spans="1:28" s="199" customFormat="1" ht="29.25" customHeight="1">
      <c r="A70" s="184">
        <f>A39</f>
        <v>0</v>
      </c>
      <c r="B70" s="185">
        <f>B25</f>
        <v>0</v>
      </c>
      <c r="C70" s="185">
        <f>B70+1/24</f>
        <v>4.1666666666666664E-2</v>
      </c>
      <c r="D70" s="186"/>
      <c r="E70" s="187"/>
      <c r="F70" s="188"/>
      <c r="G70" s="189"/>
      <c r="H70" s="190"/>
      <c r="I70" s="191"/>
      <c r="J70" s="191"/>
      <c r="K70" s="192">
        <f t="shared" si="4"/>
        <v>0</v>
      </c>
      <c r="L70" s="193"/>
      <c r="M70" s="194"/>
      <c r="N70" s="195"/>
      <c r="O70" s="196" t="str">
        <f t="shared" si="3"/>
        <v/>
      </c>
      <c r="P70" s="187"/>
      <c r="Q70" s="197"/>
      <c r="R70" s="3"/>
      <c r="S70" s="198">
        <f t="shared" si="5"/>
        <v>0</v>
      </c>
      <c r="T70" s="198">
        <f t="shared" si="6"/>
        <v>0</v>
      </c>
      <c r="U70" s="198">
        <f t="shared" si="7"/>
        <v>0</v>
      </c>
      <c r="V70" s="198">
        <f t="shared" si="8"/>
        <v>0</v>
      </c>
      <c r="W70" s="198">
        <f t="shared" si="9"/>
        <v>0</v>
      </c>
      <c r="X70" s="198">
        <f t="shared" si="10"/>
        <v>0</v>
      </c>
      <c r="Y70" s="198">
        <f t="shared" si="11"/>
        <v>0</v>
      </c>
      <c r="Z70" s="198">
        <f t="shared" si="12"/>
        <v>0</v>
      </c>
      <c r="AB70" s="200"/>
    </row>
    <row r="71" spans="1:28" s="199" customFormat="1" ht="29.25" customHeight="1">
      <c r="A71" s="201"/>
      <c r="B71" s="202">
        <f>C70</f>
        <v>4.1666666666666664E-2</v>
      </c>
      <c r="C71" s="202">
        <f>B71+1/24</f>
        <v>8.3333333333333329E-2</v>
      </c>
      <c r="D71" s="203"/>
      <c r="E71" s="204"/>
      <c r="F71" s="205"/>
      <c r="G71" s="206"/>
      <c r="H71" s="214"/>
      <c r="I71" s="207"/>
      <c r="J71" s="207"/>
      <c r="K71" s="208">
        <f t="shared" si="4"/>
        <v>0</v>
      </c>
      <c r="L71" s="209"/>
      <c r="M71" s="210"/>
      <c r="N71" s="211"/>
      <c r="O71" s="212" t="str">
        <f t="shared" si="3"/>
        <v/>
      </c>
      <c r="P71" s="204"/>
      <c r="Q71" s="213"/>
      <c r="R71" s="3"/>
      <c r="S71" s="198">
        <f t="shared" si="5"/>
        <v>0</v>
      </c>
      <c r="T71" s="198">
        <f t="shared" si="6"/>
        <v>0</v>
      </c>
      <c r="U71" s="198">
        <f t="shared" si="7"/>
        <v>0</v>
      </c>
      <c r="V71" s="198">
        <f t="shared" si="8"/>
        <v>0</v>
      </c>
      <c r="W71" s="198">
        <f t="shared" si="9"/>
        <v>0</v>
      </c>
      <c r="X71" s="198">
        <f t="shared" si="10"/>
        <v>0</v>
      </c>
      <c r="Y71" s="198">
        <f t="shared" si="11"/>
        <v>0</v>
      </c>
      <c r="Z71" s="198">
        <f t="shared" si="12"/>
        <v>0</v>
      </c>
      <c r="AB71" s="200"/>
    </row>
    <row r="72" spans="1:28" s="199" customFormat="1" ht="29.25" customHeight="1">
      <c r="A72" s="201"/>
      <c r="B72" s="202">
        <f t="shared" ref="B72:B80" si="17">C71</f>
        <v>8.3333333333333329E-2</v>
      </c>
      <c r="C72" s="202">
        <f t="shared" ref="C72:C80" si="18">B72+1/24</f>
        <v>0.125</v>
      </c>
      <c r="D72" s="203"/>
      <c r="E72" s="204"/>
      <c r="F72" s="215"/>
      <c r="G72" s="215"/>
      <c r="H72" s="214"/>
      <c r="I72" s="207"/>
      <c r="J72" s="207"/>
      <c r="K72" s="208">
        <f t="shared" si="4"/>
        <v>0</v>
      </c>
      <c r="L72" s="209"/>
      <c r="M72" s="210"/>
      <c r="N72" s="211"/>
      <c r="O72" s="212" t="str">
        <f t="shared" si="3"/>
        <v/>
      </c>
      <c r="P72" s="204"/>
      <c r="Q72" s="213"/>
      <c r="R72" s="3"/>
      <c r="S72" s="198">
        <f t="shared" si="5"/>
        <v>0</v>
      </c>
      <c r="T72" s="198">
        <f t="shared" si="6"/>
        <v>0</v>
      </c>
      <c r="U72" s="198">
        <f t="shared" si="7"/>
        <v>0</v>
      </c>
      <c r="V72" s="198">
        <f t="shared" si="8"/>
        <v>0</v>
      </c>
      <c r="W72" s="198">
        <f t="shared" si="9"/>
        <v>0</v>
      </c>
      <c r="X72" s="198">
        <f t="shared" si="10"/>
        <v>0</v>
      </c>
      <c r="Y72" s="198">
        <f t="shared" si="11"/>
        <v>0</v>
      </c>
      <c r="Z72" s="198">
        <f t="shared" si="12"/>
        <v>0</v>
      </c>
      <c r="AB72" s="200"/>
    </row>
    <row r="73" spans="1:28" s="199" customFormat="1" ht="29.25" customHeight="1">
      <c r="A73" s="201"/>
      <c r="B73" s="202">
        <f t="shared" si="17"/>
        <v>0.125</v>
      </c>
      <c r="C73" s="202">
        <f t="shared" si="18"/>
        <v>0.16666666666666666</v>
      </c>
      <c r="D73" s="203"/>
      <c r="E73" s="204"/>
      <c r="F73" s="215"/>
      <c r="G73" s="215"/>
      <c r="H73" s="214"/>
      <c r="I73" s="207"/>
      <c r="J73" s="207"/>
      <c r="K73" s="208">
        <f t="shared" si="4"/>
        <v>0</v>
      </c>
      <c r="L73" s="209"/>
      <c r="M73" s="210"/>
      <c r="N73" s="211"/>
      <c r="O73" s="212" t="str">
        <f t="shared" si="3"/>
        <v/>
      </c>
      <c r="P73" s="204"/>
      <c r="Q73" s="213"/>
      <c r="R73" s="3"/>
      <c r="S73" s="198">
        <f t="shared" si="5"/>
        <v>0</v>
      </c>
      <c r="T73" s="198">
        <f t="shared" si="6"/>
        <v>0</v>
      </c>
      <c r="U73" s="198">
        <f t="shared" si="7"/>
        <v>0</v>
      </c>
      <c r="V73" s="198">
        <f t="shared" si="8"/>
        <v>0</v>
      </c>
      <c r="W73" s="198">
        <f t="shared" si="9"/>
        <v>0</v>
      </c>
      <c r="X73" s="198">
        <f t="shared" si="10"/>
        <v>0</v>
      </c>
      <c r="Y73" s="198">
        <f t="shared" si="11"/>
        <v>0</v>
      </c>
      <c r="Z73" s="198">
        <f t="shared" si="12"/>
        <v>0</v>
      </c>
      <c r="AB73" s="200"/>
    </row>
    <row r="74" spans="1:28" s="199" customFormat="1" ht="29.25" customHeight="1">
      <c r="A74" s="201"/>
      <c r="B74" s="202">
        <f t="shared" si="17"/>
        <v>0.16666666666666666</v>
      </c>
      <c r="C74" s="202">
        <f t="shared" si="18"/>
        <v>0.20833333333333331</v>
      </c>
      <c r="D74" s="203"/>
      <c r="E74" s="204"/>
      <c r="F74" s="215"/>
      <c r="G74" s="215"/>
      <c r="H74" s="214"/>
      <c r="I74" s="207"/>
      <c r="J74" s="207"/>
      <c r="K74" s="208">
        <f t="shared" si="4"/>
        <v>0</v>
      </c>
      <c r="L74" s="209"/>
      <c r="M74" s="210"/>
      <c r="N74" s="211"/>
      <c r="O74" s="212" t="str">
        <f t="shared" si="3"/>
        <v/>
      </c>
      <c r="P74" s="204"/>
      <c r="Q74" s="213"/>
      <c r="R74" s="3"/>
      <c r="S74" s="198">
        <f t="shared" si="5"/>
        <v>0</v>
      </c>
      <c r="T74" s="198">
        <f t="shared" si="6"/>
        <v>0</v>
      </c>
      <c r="U74" s="198">
        <f t="shared" si="7"/>
        <v>0</v>
      </c>
      <c r="V74" s="198">
        <f t="shared" si="8"/>
        <v>0</v>
      </c>
      <c r="W74" s="198">
        <f t="shared" si="9"/>
        <v>0</v>
      </c>
      <c r="X74" s="198">
        <f t="shared" si="10"/>
        <v>0</v>
      </c>
      <c r="Y74" s="198">
        <f t="shared" si="11"/>
        <v>0</v>
      </c>
      <c r="Z74" s="198">
        <f t="shared" si="12"/>
        <v>0</v>
      </c>
      <c r="AB74" s="200"/>
    </row>
    <row r="75" spans="1:28" s="199" customFormat="1" ht="29.25" customHeight="1">
      <c r="A75" s="201"/>
      <c r="B75" s="202">
        <f t="shared" si="17"/>
        <v>0.20833333333333331</v>
      </c>
      <c r="C75" s="202">
        <f t="shared" si="18"/>
        <v>0.24999999999999997</v>
      </c>
      <c r="D75" s="203"/>
      <c r="E75" s="204"/>
      <c r="F75" s="215"/>
      <c r="G75" s="215"/>
      <c r="H75" s="214"/>
      <c r="I75" s="207"/>
      <c r="J75" s="207"/>
      <c r="K75" s="208">
        <f t="shared" si="4"/>
        <v>0</v>
      </c>
      <c r="L75" s="209"/>
      <c r="M75" s="210"/>
      <c r="N75" s="211"/>
      <c r="O75" s="212" t="str">
        <f t="shared" si="3"/>
        <v/>
      </c>
      <c r="P75" s="204"/>
      <c r="Q75" s="213"/>
      <c r="R75" s="3"/>
      <c r="S75" s="198">
        <f t="shared" si="5"/>
        <v>0</v>
      </c>
      <c r="T75" s="198">
        <f t="shared" si="6"/>
        <v>0</v>
      </c>
      <c r="U75" s="198">
        <f t="shared" si="7"/>
        <v>0</v>
      </c>
      <c r="V75" s="198">
        <f t="shared" si="8"/>
        <v>0</v>
      </c>
      <c r="W75" s="198">
        <f t="shared" si="9"/>
        <v>0</v>
      </c>
      <c r="X75" s="198">
        <f t="shared" si="10"/>
        <v>0</v>
      </c>
      <c r="Y75" s="198">
        <f t="shared" si="11"/>
        <v>0</v>
      </c>
      <c r="Z75" s="198">
        <f t="shared" si="12"/>
        <v>0</v>
      </c>
      <c r="AB75" s="200"/>
    </row>
    <row r="76" spans="1:28" s="199" customFormat="1" ht="29.25" customHeight="1">
      <c r="A76" s="201"/>
      <c r="B76" s="202">
        <f t="shared" si="17"/>
        <v>0.24999999999999997</v>
      </c>
      <c r="C76" s="202">
        <f t="shared" si="18"/>
        <v>0.29166666666666663</v>
      </c>
      <c r="D76" s="203"/>
      <c r="E76" s="216"/>
      <c r="F76" s="215"/>
      <c r="G76" s="215"/>
      <c r="H76" s="214"/>
      <c r="I76" s="207"/>
      <c r="J76" s="207"/>
      <c r="K76" s="208">
        <f t="shared" si="4"/>
        <v>0</v>
      </c>
      <c r="L76" s="209"/>
      <c r="M76" s="210"/>
      <c r="N76" s="211"/>
      <c r="O76" s="212" t="str">
        <f t="shared" si="3"/>
        <v/>
      </c>
      <c r="P76" s="204"/>
      <c r="Q76" s="213"/>
      <c r="R76" s="3"/>
      <c r="S76" s="198">
        <f t="shared" si="5"/>
        <v>0</v>
      </c>
      <c r="T76" s="198">
        <f t="shared" si="6"/>
        <v>0</v>
      </c>
      <c r="U76" s="198">
        <f t="shared" si="7"/>
        <v>0</v>
      </c>
      <c r="V76" s="198">
        <f t="shared" si="8"/>
        <v>0</v>
      </c>
      <c r="W76" s="198">
        <f t="shared" si="9"/>
        <v>0</v>
      </c>
      <c r="X76" s="198">
        <f t="shared" si="10"/>
        <v>0</v>
      </c>
      <c r="Y76" s="198">
        <f t="shared" si="11"/>
        <v>0</v>
      </c>
      <c r="Z76" s="198">
        <f t="shared" si="12"/>
        <v>0</v>
      </c>
      <c r="AB76" s="200"/>
    </row>
    <row r="77" spans="1:28" s="199" customFormat="1" ht="29.25" customHeight="1">
      <c r="A77" s="201"/>
      <c r="B77" s="202">
        <f t="shared" si="17"/>
        <v>0.29166666666666663</v>
      </c>
      <c r="C77" s="202">
        <f t="shared" si="18"/>
        <v>0.33333333333333331</v>
      </c>
      <c r="D77" s="203"/>
      <c r="E77" s="216"/>
      <c r="F77" s="205"/>
      <c r="G77" s="206"/>
      <c r="H77" s="214"/>
      <c r="I77" s="207"/>
      <c r="J77" s="207"/>
      <c r="K77" s="208">
        <f t="shared" si="4"/>
        <v>0</v>
      </c>
      <c r="L77" s="209"/>
      <c r="M77" s="210"/>
      <c r="N77" s="211"/>
      <c r="O77" s="212" t="str">
        <f t="shared" si="3"/>
        <v/>
      </c>
      <c r="P77" s="204"/>
      <c r="Q77" s="213"/>
      <c r="R77" s="3"/>
      <c r="S77" s="198">
        <f t="shared" si="5"/>
        <v>0</v>
      </c>
      <c r="T77" s="198">
        <f t="shared" si="6"/>
        <v>0</v>
      </c>
      <c r="U77" s="198">
        <f t="shared" si="7"/>
        <v>0</v>
      </c>
      <c r="V77" s="198">
        <f t="shared" si="8"/>
        <v>0</v>
      </c>
      <c r="W77" s="198">
        <f t="shared" si="9"/>
        <v>0</v>
      </c>
      <c r="X77" s="198">
        <f t="shared" si="10"/>
        <v>0</v>
      </c>
      <c r="Y77" s="198">
        <f t="shared" si="11"/>
        <v>0</v>
      </c>
      <c r="Z77" s="198">
        <f t="shared" si="12"/>
        <v>0</v>
      </c>
      <c r="AB77" s="200"/>
    </row>
    <row r="78" spans="1:28" s="199" customFormat="1" ht="29.25" customHeight="1">
      <c r="A78" s="201"/>
      <c r="B78" s="202">
        <f t="shared" si="17"/>
        <v>0.33333333333333331</v>
      </c>
      <c r="C78" s="202">
        <f t="shared" si="18"/>
        <v>0.375</v>
      </c>
      <c r="D78" s="203"/>
      <c r="E78" s="216"/>
      <c r="F78" s="205"/>
      <c r="G78" s="206"/>
      <c r="H78" s="214"/>
      <c r="I78" s="207"/>
      <c r="J78" s="207"/>
      <c r="K78" s="208">
        <f t="shared" si="4"/>
        <v>0</v>
      </c>
      <c r="L78" s="209"/>
      <c r="M78" s="210"/>
      <c r="N78" s="211"/>
      <c r="O78" s="212" t="str">
        <f t="shared" si="3"/>
        <v/>
      </c>
      <c r="P78" s="204"/>
      <c r="Q78" s="213"/>
      <c r="R78" s="3"/>
      <c r="S78" s="198">
        <f t="shared" si="5"/>
        <v>0</v>
      </c>
      <c r="T78" s="198">
        <f t="shared" si="6"/>
        <v>0</v>
      </c>
      <c r="U78" s="198">
        <f t="shared" si="7"/>
        <v>0</v>
      </c>
      <c r="V78" s="198">
        <f t="shared" si="8"/>
        <v>0</v>
      </c>
      <c r="W78" s="198">
        <f t="shared" si="9"/>
        <v>0</v>
      </c>
      <c r="X78" s="198">
        <f t="shared" si="10"/>
        <v>0</v>
      </c>
      <c r="Y78" s="198">
        <f t="shared" si="11"/>
        <v>0</v>
      </c>
      <c r="Z78" s="198">
        <f t="shared" si="12"/>
        <v>0</v>
      </c>
      <c r="AB78" s="200"/>
    </row>
    <row r="79" spans="1:28" ht="29.25" customHeight="1">
      <c r="A79" s="201"/>
      <c r="B79" s="202">
        <f t="shared" si="17"/>
        <v>0.375</v>
      </c>
      <c r="C79" s="202">
        <f t="shared" si="18"/>
        <v>0.41666666666666669</v>
      </c>
      <c r="D79" s="203"/>
      <c r="E79" s="216"/>
      <c r="F79" s="215"/>
      <c r="G79" s="215"/>
      <c r="H79" s="214"/>
      <c r="I79" s="207"/>
      <c r="J79" s="207"/>
      <c r="K79" s="208">
        <f t="shared" si="4"/>
        <v>0</v>
      </c>
      <c r="L79" s="209"/>
      <c r="M79" s="210"/>
      <c r="N79" s="211"/>
      <c r="O79" s="212" t="str">
        <f t="shared" si="3"/>
        <v/>
      </c>
      <c r="P79" s="204"/>
      <c r="Q79" s="213"/>
      <c r="S79" s="198">
        <f t="shared" si="5"/>
        <v>0</v>
      </c>
      <c r="T79" s="198">
        <f t="shared" si="6"/>
        <v>0</v>
      </c>
      <c r="U79" s="198">
        <f t="shared" si="7"/>
        <v>0</v>
      </c>
      <c r="V79" s="198">
        <f t="shared" si="8"/>
        <v>0</v>
      </c>
      <c r="W79" s="198">
        <f t="shared" si="9"/>
        <v>0</v>
      </c>
      <c r="X79" s="198">
        <f t="shared" si="10"/>
        <v>0</v>
      </c>
      <c r="Y79" s="198">
        <f t="shared" si="11"/>
        <v>0</v>
      </c>
      <c r="Z79" s="198">
        <f t="shared" si="12"/>
        <v>0</v>
      </c>
      <c r="AB79" s="200"/>
    </row>
    <row r="80" spans="1:28" ht="29.25" customHeight="1" thickBot="1">
      <c r="A80" s="218"/>
      <c r="B80" s="219">
        <f t="shared" si="17"/>
        <v>0.41666666666666669</v>
      </c>
      <c r="C80" s="219">
        <f t="shared" si="18"/>
        <v>0.45833333333333337</v>
      </c>
      <c r="D80" s="230"/>
      <c r="E80" s="221"/>
      <c r="F80" s="222"/>
      <c r="G80" s="222"/>
      <c r="H80" s="231"/>
      <c r="I80" s="223"/>
      <c r="J80" s="223"/>
      <c r="K80" s="224">
        <f t="shared" si="4"/>
        <v>0</v>
      </c>
      <c r="L80" s="225"/>
      <c r="M80" s="226"/>
      <c r="N80" s="227"/>
      <c r="O80" s="204" t="str">
        <f t="shared" si="3"/>
        <v/>
      </c>
      <c r="P80" s="228"/>
      <c r="Q80" s="229"/>
      <c r="S80" s="198">
        <f t="shared" si="5"/>
        <v>0</v>
      </c>
      <c r="T80" s="198">
        <f t="shared" si="6"/>
        <v>0</v>
      </c>
      <c r="U80" s="198">
        <f t="shared" si="7"/>
        <v>0</v>
      </c>
      <c r="V80" s="198">
        <f t="shared" si="8"/>
        <v>0</v>
      </c>
      <c r="W80" s="198">
        <f t="shared" si="9"/>
        <v>0</v>
      </c>
      <c r="X80" s="198">
        <f t="shared" si="10"/>
        <v>0</v>
      </c>
      <c r="Y80" s="198">
        <f t="shared" si="11"/>
        <v>0</v>
      </c>
      <c r="Z80" s="198">
        <f t="shared" si="12"/>
        <v>0</v>
      </c>
      <c r="AB80" s="200"/>
    </row>
    <row r="81" spans="1:28" ht="29.25" customHeight="1">
      <c r="A81" s="184">
        <f>A40</f>
        <v>0</v>
      </c>
      <c r="B81" s="185">
        <f>B27</f>
        <v>0</v>
      </c>
      <c r="C81" s="185">
        <f>B81+1/24</f>
        <v>4.1666666666666664E-2</v>
      </c>
      <c r="D81" s="186"/>
      <c r="E81" s="187"/>
      <c r="F81" s="188"/>
      <c r="G81" s="189"/>
      <c r="H81" s="190"/>
      <c r="I81" s="191"/>
      <c r="J81" s="191"/>
      <c r="K81" s="192">
        <f t="shared" si="4"/>
        <v>0</v>
      </c>
      <c r="L81" s="193"/>
      <c r="M81" s="194"/>
      <c r="N81" s="195"/>
      <c r="O81" s="196" t="str">
        <f t="shared" si="3"/>
        <v/>
      </c>
      <c r="P81" s="187"/>
      <c r="Q81" s="197"/>
      <c r="S81" s="198">
        <f t="shared" si="5"/>
        <v>0</v>
      </c>
      <c r="T81" s="198">
        <f t="shared" si="6"/>
        <v>0</v>
      </c>
      <c r="U81" s="198">
        <f t="shared" si="7"/>
        <v>0</v>
      </c>
      <c r="V81" s="198">
        <f t="shared" si="8"/>
        <v>0</v>
      </c>
      <c r="W81" s="198">
        <f t="shared" si="9"/>
        <v>0</v>
      </c>
      <c r="X81" s="198">
        <f t="shared" si="10"/>
        <v>0</v>
      </c>
      <c r="Y81" s="198">
        <f t="shared" si="11"/>
        <v>0</v>
      </c>
      <c r="Z81" s="198">
        <f t="shared" si="12"/>
        <v>0</v>
      </c>
      <c r="AB81" s="200"/>
    </row>
    <row r="82" spans="1:28" ht="29.25" customHeight="1">
      <c r="A82" s="201"/>
      <c r="B82" s="202">
        <f>C81</f>
        <v>4.1666666666666664E-2</v>
      </c>
      <c r="C82" s="202">
        <f>B82+1/24</f>
        <v>8.3333333333333329E-2</v>
      </c>
      <c r="D82" s="203"/>
      <c r="E82" s="204"/>
      <c r="F82" s="205"/>
      <c r="G82" s="206"/>
      <c r="H82" s="214"/>
      <c r="I82" s="207"/>
      <c r="J82" s="207"/>
      <c r="K82" s="208">
        <f t="shared" si="4"/>
        <v>0</v>
      </c>
      <c r="L82" s="209"/>
      <c r="M82" s="210"/>
      <c r="N82" s="211"/>
      <c r="O82" s="212" t="str">
        <f t="shared" si="3"/>
        <v/>
      </c>
      <c r="P82" s="204"/>
      <c r="Q82" s="213"/>
      <c r="S82" s="198">
        <f t="shared" si="5"/>
        <v>0</v>
      </c>
      <c r="T82" s="198">
        <f t="shared" si="6"/>
        <v>0</v>
      </c>
      <c r="U82" s="198">
        <f t="shared" si="7"/>
        <v>0</v>
      </c>
      <c r="V82" s="198">
        <f t="shared" si="8"/>
        <v>0</v>
      </c>
      <c r="W82" s="198">
        <f t="shared" si="9"/>
        <v>0</v>
      </c>
      <c r="X82" s="198">
        <f t="shared" si="10"/>
        <v>0</v>
      </c>
      <c r="Y82" s="198">
        <f t="shared" si="11"/>
        <v>0</v>
      </c>
      <c r="Z82" s="198">
        <f t="shared" si="12"/>
        <v>0</v>
      </c>
      <c r="AB82" s="200"/>
    </row>
    <row r="83" spans="1:28" ht="29.25" customHeight="1">
      <c r="A83" s="201"/>
      <c r="B83" s="202">
        <f t="shared" ref="B83:B91" si="19">C82</f>
        <v>8.3333333333333329E-2</v>
      </c>
      <c r="C83" s="202">
        <f t="shared" ref="C83:C91" si="20">B83+1/24</f>
        <v>0.125</v>
      </c>
      <c r="D83" s="203"/>
      <c r="E83" s="204"/>
      <c r="F83" s="215"/>
      <c r="G83" s="215"/>
      <c r="H83" s="214"/>
      <c r="I83" s="207"/>
      <c r="J83" s="207"/>
      <c r="K83" s="208">
        <f t="shared" si="4"/>
        <v>0</v>
      </c>
      <c r="L83" s="209"/>
      <c r="M83" s="210"/>
      <c r="N83" s="211"/>
      <c r="O83" s="212" t="str">
        <f t="shared" si="3"/>
        <v/>
      </c>
      <c r="P83" s="204"/>
      <c r="Q83" s="213"/>
      <c r="S83" s="198">
        <f t="shared" si="5"/>
        <v>0</v>
      </c>
      <c r="T83" s="198">
        <f t="shared" si="6"/>
        <v>0</v>
      </c>
      <c r="U83" s="198">
        <f t="shared" si="7"/>
        <v>0</v>
      </c>
      <c r="V83" s="198">
        <f t="shared" si="8"/>
        <v>0</v>
      </c>
      <c r="W83" s="198">
        <f t="shared" si="9"/>
        <v>0</v>
      </c>
      <c r="X83" s="198">
        <f t="shared" si="10"/>
        <v>0</v>
      </c>
      <c r="Y83" s="198">
        <f t="shared" si="11"/>
        <v>0</v>
      </c>
      <c r="Z83" s="198">
        <f t="shared" si="12"/>
        <v>0</v>
      </c>
      <c r="AB83" s="200"/>
    </row>
    <row r="84" spans="1:28" ht="29.25" customHeight="1">
      <c r="A84" s="201"/>
      <c r="B84" s="202">
        <f t="shared" si="19"/>
        <v>0.125</v>
      </c>
      <c r="C84" s="202">
        <f t="shared" si="20"/>
        <v>0.16666666666666666</v>
      </c>
      <c r="D84" s="203"/>
      <c r="E84" s="204"/>
      <c r="F84" s="215"/>
      <c r="G84" s="215"/>
      <c r="H84" s="214"/>
      <c r="I84" s="207"/>
      <c r="J84" s="207"/>
      <c r="K84" s="208">
        <f t="shared" si="4"/>
        <v>0</v>
      </c>
      <c r="L84" s="209"/>
      <c r="M84" s="210"/>
      <c r="N84" s="211"/>
      <c r="O84" s="212" t="str">
        <f t="shared" si="3"/>
        <v/>
      </c>
      <c r="P84" s="204"/>
      <c r="Q84" s="213"/>
      <c r="S84" s="198">
        <f t="shared" si="5"/>
        <v>0</v>
      </c>
      <c r="T84" s="198">
        <f t="shared" si="6"/>
        <v>0</v>
      </c>
      <c r="U84" s="198">
        <f t="shared" si="7"/>
        <v>0</v>
      </c>
      <c r="V84" s="198">
        <f t="shared" si="8"/>
        <v>0</v>
      </c>
      <c r="W84" s="198">
        <f t="shared" si="9"/>
        <v>0</v>
      </c>
      <c r="X84" s="198">
        <f t="shared" si="10"/>
        <v>0</v>
      </c>
      <c r="Y84" s="198">
        <f t="shared" si="11"/>
        <v>0</v>
      </c>
      <c r="Z84" s="198">
        <f t="shared" si="12"/>
        <v>0</v>
      </c>
      <c r="AB84" s="200"/>
    </row>
    <row r="85" spans="1:28" ht="29.25" customHeight="1">
      <c r="A85" s="201"/>
      <c r="B85" s="202">
        <f t="shared" si="19"/>
        <v>0.16666666666666666</v>
      </c>
      <c r="C85" s="202">
        <f t="shared" si="20"/>
        <v>0.20833333333333331</v>
      </c>
      <c r="D85" s="203"/>
      <c r="E85" s="204"/>
      <c r="F85" s="215"/>
      <c r="G85" s="215"/>
      <c r="H85" s="214"/>
      <c r="I85" s="207"/>
      <c r="J85" s="207"/>
      <c r="K85" s="208">
        <f t="shared" si="4"/>
        <v>0</v>
      </c>
      <c r="L85" s="209"/>
      <c r="M85" s="210"/>
      <c r="N85" s="211"/>
      <c r="O85" s="212" t="str">
        <f t="shared" si="3"/>
        <v/>
      </c>
      <c r="P85" s="204"/>
      <c r="Q85" s="213"/>
      <c r="S85" s="198">
        <f t="shared" si="5"/>
        <v>0</v>
      </c>
      <c r="T85" s="198">
        <f t="shared" si="6"/>
        <v>0</v>
      </c>
      <c r="U85" s="198">
        <f t="shared" si="7"/>
        <v>0</v>
      </c>
      <c r="V85" s="198">
        <f t="shared" si="8"/>
        <v>0</v>
      </c>
      <c r="W85" s="198">
        <f t="shared" si="9"/>
        <v>0</v>
      </c>
      <c r="X85" s="198">
        <f t="shared" si="10"/>
        <v>0</v>
      </c>
      <c r="Y85" s="198">
        <f t="shared" si="11"/>
        <v>0</v>
      </c>
      <c r="Z85" s="198">
        <f t="shared" si="12"/>
        <v>0</v>
      </c>
      <c r="AB85" s="200"/>
    </row>
    <row r="86" spans="1:28" ht="29.25" customHeight="1">
      <c r="A86" s="201"/>
      <c r="B86" s="202">
        <f t="shared" si="19"/>
        <v>0.20833333333333331</v>
      </c>
      <c r="C86" s="202">
        <f t="shared" si="20"/>
        <v>0.24999999999999997</v>
      </c>
      <c r="D86" s="203"/>
      <c r="E86" s="204"/>
      <c r="F86" s="215"/>
      <c r="G86" s="215"/>
      <c r="H86" s="214"/>
      <c r="I86" s="207"/>
      <c r="J86" s="207"/>
      <c r="K86" s="208">
        <f t="shared" si="4"/>
        <v>0</v>
      </c>
      <c r="L86" s="209"/>
      <c r="M86" s="210"/>
      <c r="N86" s="211"/>
      <c r="O86" s="212" t="str">
        <f t="shared" si="3"/>
        <v/>
      </c>
      <c r="P86" s="204"/>
      <c r="Q86" s="213"/>
      <c r="S86" s="198">
        <f t="shared" si="5"/>
        <v>0</v>
      </c>
      <c r="T86" s="198">
        <f t="shared" si="6"/>
        <v>0</v>
      </c>
      <c r="U86" s="198">
        <f t="shared" si="7"/>
        <v>0</v>
      </c>
      <c r="V86" s="198">
        <f t="shared" si="8"/>
        <v>0</v>
      </c>
      <c r="W86" s="198">
        <f t="shared" si="9"/>
        <v>0</v>
      </c>
      <c r="X86" s="198">
        <f t="shared" si="10"/>
        <v>0</v>
      </c>
      <c r="Y86" s="198">
        <f t="shared" si="11"/>
        <v>0</v>
      </c>
      <c r="Z86" s="198">
        <f t="shared" si="12"/>
        <v>0</v>
      </c>
      <c r="AB86" s="200"/>
    </row>
    <row r="87" spans="1:28" ht="29.25" customHeight="1">
      <c r="A87" s="201"/>
      <c r="B87" s="202">
        <f t="shared" si="19"/>
        <v>0.24999999999999997</v>
      </c>
      <c r="C87" s="202">
        <f t="shared" si="20"/>
        <v>0.29166666666666663</v>
      </c>
      <c r="D87" s="203"/>
      <c r="E87" s="216"/>
      <c r="F87" s="215"/>
      <c r="G87" s="215"/>
      <c r="H87" s="214"/>
      <c r="I87" s="207"/>
      <c r="J87" s="207"/>
      <c r="K87" s="208">
        <f t="shared" si="4"/>
        <v>0</v>
      </c>
      <c r="L87" s="209"/>
      <c r="M87" s="210"/>
      <c r="N87" s="211"/>
      <c r="O87" s="212" t="str">
        <f t="shared" si="3"/>
        <v/>
      </c>
      <c r="P87" s="204"/>
      <c r="Q87" s="213"/>
      <c r="S87" s="198">
        <f t="shared" si="5"/>
        <v>0</v>
      </c>
      <c r="T87" s="198">
        <f t="shared" si="6"/>
        <v>0</v>
      </c>
      <c r="U87" s="198">
        <f t="shared" si="7"/>
        <v>0</v>
      </c>
      <c r="V87" s="198">
        <f t="shared" si="8"/>
        <v>0</v>
      </c>
      <c r="W87" s="198">
        <f t="shared" si="9"/>
        <v>0</v>
      </c>
      <c r="X87" s="198">
        <f t="shared" si="10"/>
        <v>0</v>
      </c>
      <c r="Y87" s="198">
        <f t="shared" si="11"/>
        <v>0</v>
      </c>
      <c r="Z87" s="198">
        <f t="shared" si="12"/>
        <v>0</v>
      </c>
      <c r="AB87" s="200"/>
    </row>
    <row r="88" spans="1:28" ht="29.25" customHeight="1">
      <c r="A88" s="201"/>
      <c r="B88" s="202">
        <f t="shared" si="19"/>
        <v>0.29166666666666663</v>
      </c>
      <c r="C88" s="202">
        <f t="shared" si="20"/>
        <v>0.33333333333333331</v>
      </c>
      <c r="D88" s="203"/>
      <c r="E88" s="216"/>
      <c r="F88" s="205"/>
      <c r="G88" s="206"/>
      <c r="H88" s="214"/>
      <c r="I88" s="207"/>
      <c r="J88" s="207"/>
      <c r="K88" s="208">
        <f t="shared" si="4"/>
        <v>0</v>
      </c>
      <c r="L88" s="209"/>
      <c r="M88" s="210"/>
      <c r="N88" s="211"/>
      <c r="O88" s="212" t="str">
        <f t="shared" si="3"/>
        <v/>
      </c>
      <c r="P88" s="204"/>
      <c r="Q88" s="213"/>
      <c r="S88" s="198">
        <f t="shared" si="5"/>
        <v>0</v>
      </c>
      <c r="T88" s="198">
        <f t="shared" si="6"/>
        <v>0</v>
      </c>
      <c r="U88" s="198">
        <f t="shared" si="7"/>
        <v>0</v>
      </c>
      <c r="V88" s="198">
        <f t="shared" si="8"/>
        <v>0</v>
      </c>
      <c r="W88" s="198">
        <f t="shared" si="9"/>
        <v>0</v>
      </c>
      <c r="X88" s="198">
        <f t="shared" si="10"/>
        <v>0</v>
      </c>
      <c r="Y88" s="198">
        <f t="shared" si="11"/>
        <v>0</v>
      </c>
      <c r="Z88" s="198">
        <f t="shared" si="12"/>
        <v>0</v>
      </c>
      <c r="AB88" s="200"/>
    </row>
    <row r="89" spans="1:28" ht="29.25" customHeight="1">
      <c r="A89" s="201"/>
      <c r="B89" s="202">
        <f t="shared" si="19"/>
        <v>0.33333333333333331</v>
      </c>
      <c r="C89" s="202">
        <f t="shared" si="20"/>
        <v>0.375</v>
      </c>
      <c r="D89" s="203"/>
      <c r="E89" s="216"/>
      <c r="F89" s="205"/>
      <c r="G89" s="206"/>
      <c r="H89" s="214"/>
      <c r="I89" s="207"/>
      <c r="J89" s="207"/>
      <c r="K89" s="208">
        <f t="shared" si="4"/>
        <v>0</v>
      </c>
      <c r="L89" s="209"/>
      <c r="M89" s="210"/>
      <c r="N89" s="211"/>
      <c r="O89" s="212" t="str">
        <f t="shared" si="3"/>
        <v/>
      </c>
      <c r="P89" s="204"/>
      <c r="Q89" s="213"/>
      <c r="S89" s="198">
        <f t="shared" si="5"/>
        <v>0</v>
      </c>
      <c r="T89" s="198">
        <f t="shared" si="6"/>
        <v>0</v>
      </c>
      <c r="U89" s="198">
        <f t="shared" si="7"/>
        <v>0</v>
      </c>
      <c r="V89" s="198">
        <f t="shared" si="8"/>
        <v>0</v>
      </c>
      <c r="W89" s="198">
        <f t="shared" si="9"/>
        <v>0</v>
      </c>
      <c r="X89" s="198">
        <f t="shared" si="10"/>
        <v>0</v>
      </c>
      <c r="Y89" s="198">
        <f t="shared" si="11"/>
        <v>0</v>
      </c>
      <c r="Z89" s="198">
        <f t="shared" si="12"/>
        <v>0</v>
      </c>
      <c r="AB89" s="200"/>
    </row>
    <row r="90" spans="1:28" ht="29.25" customHeight="1">
      <c r="A90" s="201"/>
      <c r="B90" s="202">
        <f t="shared" si="19"/>
        <v>0.375</v>
      </c>
      <c r="C90" s="202">
        <f t="shared" si="20"/>
        <v>0.41666666666666669</v>
      </c>
      <c r="D90" s="203"/>
      <c r="E90" s="216"/>
      <c r="F90" s="215"/>
      <c r="G90" s="215"/>
      <c r="H90" s="214"/>
      <c r="I90" s="207"/>
      <c r="J90" s="207"/>
      <c r="K90" s="208">
        <f t="shared" si="4"/>
        <v>0</v>
      </c>
      <c r="L90" s="209"/>
      <c r="M90" s="210"/>
      <c r="N90" s="211"/>
      <c r="O90" s="212" t="str">
        <f t="shared" si="3"/>
        <v/>
      </c>
      <c r="P90" s="204"/>
      <c r="Q90" s="213"/>
      <c r="S90" s="198">
        <f t="shared" si="5"/>
        <v>0</v>
      </c>
      <c r="T90" s="198">
        <f t="shared" si="6"/>
        <v>0</v>
      </c>
      <c r="U90" s="198">
        <f t="shared" si="7"/>
        <v>0</v>
      </c>
      <c r="V90" s="198">
        <f t="shared" si="8"/>
        <v>0</v>
      </c>
      <c r="W90" s="198">
        <f t="shared" si="9"/>
        <v>0</v>
      </c>
      <c r="X90" s="198">
        <f t="shared" si="10"/>
        <v>0</v>
      </c>
      <c r="Y90" s="198">
        <f t="shared" si="11"/>
        <v>0</v>
      </c>
      <c r="Z90" s="198">
        <f t="shared" si="12"/>
        <v>0</v>
      </c>
      <c r="AB90" s="200"/>
    </row>
    <row r="91" spans="1:28" ht="29.25" customHeight="1" thickBot="1">
      <c r="A91" s="218"/>
      <c r="B91" s="219">
        <f t="shared" si="19"/>
        <v>0.41666666666666669</v>
      </c>
      <c r="C91" s="219">
        <f t="shared" si="20"/>
        <v>0.45833333333333337</v>
      </c>
      <c r="D91" s="230"/>
      <c r="E91" s="221"/>
      <c r="F91" s="222"/>
      <c r="G91" s="222"/>
      <c r="H91" s="231"/>
      <c r="I91" s="223"/>
      <c r="J91" s="223"/>
      <c r="K91" s="224">
        <f t="shared" si="4"/>
        <v>0</v>
      </c>
      <c r="L91" s="225"/>
      <c r="M91" s="226"/>
      <c r="N91" s="227"/>
      <c r="O91" s="204" t="str">
        <f t="shared" si="3"/>
        <v/>
      </c>
      <c r="P91" s="228"/>
      <c r="Q91" s="229"/>
      <c r="S91" s="198">
        <f t="shared" si="5"/>
        <v>0</v>
      </c>
      <c r="T91" s="198">
        <f t="shared" si="6"/>
        <v>0</v>
      </c>
      <c r="U91" s="198">
        <f t="shared" si="7"/>
        <v>0</v>
      </c>
      <c r="V91" s="198">
        <f t="shared" si="8"/>
        <v>0</v>
      </c>
      <c r="W91" s="198">
        <f t="shared" si="9"/>
        <v>0</v>
      </c>
      <c r="X91" s="198">
        <f t="shared" si="10"/>
        <v>0</v>
      </c>
      <c r="Y91" s="198">
        <f t="shared" si="11"/>
        <v>0</v>
      </c>
      <c r="Z91" s="198">
        <f t="shared" si="12"/>
        <v>0</v>
      </c>
      <c r="AB91" s="200"/>
    </row>
    <row r="92" spans="1:28" ht="15" hidden="1" customHeight="1">
      <c r="A92" s="232">
        <f>A41</f>
        <v>0</v>
      </c>
      <c r="B92" s="233"/>
      <c r="C92" s="233"/>
      <c r="D92" s="233"/>
      <c r="E92" s="234"/>
      <c r="F92" s="235"/>
      <c r="G92" s="235"/>
      <c r="H92" s="236"/>
      <c r="I92" s="237"/>
      <c r="J92" s="237"/>
      <c r="K92" s="238">
        <f t="shared" si="4"/>
        <v>0</v>
      </c>
      <c r="L92" s="239"/>
      <c r="M92" s="239"/>
      <c r="N92" s="239"/>
      <c r="O92" s="187" t="str">
        <f t="shared" si="3"/>
        <v/>
      </c>
      <c r="P92" s="240"/>
      <c r="Q92" s="241"/>
      <c r="S92" s="198">
        <f t="shared" si="5"/>
        <v>0</v>
      </c>
      <c r="T92" s="198">
        <f t="shared" si="6"/>
        <v>0</v>
      </c>
      <c r="U92" s="198">
        <f t="shared" si="7"/>
        <v>0</v>
      </c>
      <c r="V92" s="198">
        <f t="shared" si="8"/>
        <v>0</v>
      </c>
      <c r="W92" s="198">
        <f t="shared" si="9"/>
        <v>0</v>
      </c>
      <c r="X92" s="198">
        <f t="shared" si="10"/>
        <v>0</v>
      </c>
      <c r="Y92" s="198">
        <f t="shared" si="11"/>
        <v>0</v>
      </c>
      <c r="Z92" s="198">
        <f t="shared" si="12"/>
        <v>0</v>
      </c>
      <c r="AB92" s="200"/>
    </row>
    <row r="93" spans="1:28" ht="15" hidden="1" customHeight="1">
      <c r="A93" s="232"/>
      <c r="B93" s="242"/>
      <c r="C93" s="242"/>
      <c r="D93" s="242"/>
      <c r="E93" s="243"/>
      <c r="F93" s="244"/>
      <c r="G93" s="244"/>
      <c r="H93" s="214"/>
      <c r="I93" s="207"/>
      <c r="J93" s="207"/>
      <c r="K93" s="245">
        <f t="shared" si="4"/>
        <v>0</v>
      </c>
      <c r="L93" s="246"/>
      <c r="M93" s="246"/>
      <c r="N93" s="246"/>
      <c r="O93" s="187" t="str">
        <f t="shared" si="3"/>
        <v/>
      </c>
      <c r="P93" s="247"/>
      <c r="Q93" s="248"/>
      <c r="S93" s="198">
        <f t="shared" si="5"/>
        <v>0</v>
      </c>
      <c r="T93" s="198">
        <f t="shared" si="6"/>
        <v>0</v>
      </c>
      <c r="U93" s="198">
        <f t="shared" si="7"/>
        <v>0</v>
      </c>
      <c r="V93" s="198">
        <f t="shared" si="8"/>
        <v>0</v>
      </c>
      <c r="W93" s="198">
        <f t="shared" si="9"/>
        <v>0</v>
      </c>
      <c r="X93" s="198">
        <f t="shared" si="10"/>
        <v>0</v>
      </c>
      <c r="Y93" s="198">
        <f t="shared" si="11"/>
        <v>0</v>
      </c>
      <c r="Z93" s="198">
        <f t="shared" si="12"/>
        <v>0</v>
      </c>
      <c r="AB93" s="200"/>
    </row>
    <row r="94" spans="1:28" ht="15" hidden="1" customHeight="1">
      <c r="A94" s="232"/>
      <c r="B94" s="242"/>
      <c r="C94" s="242"/>
      <c r="D94" s="242"/>
      <c r="E94" s="243"/>
      <c r="F94" s="244"/>
      <c r="G94" s="244"/>
      <c r="H94" s="214"/>
      <c r="I94" s="207"/>
      <c r="J94" s="207"/>
      <c r="K94" s="245">
        <f t="shared" si="4"/>
        <v>0</v>
      </c>
      <c r="L94" s="246"/>
      <c r="M94" s="246"/>
      <c r="N94" s="246"/>
      <c r="O94" s="187" t="str">
        <f t="shared" si="3"/>
        <v/>
      </c>
      <c r="P94" s="247"/>
      <c r="Q94" s="248"/>
      <c r="S94" s="198">
        <f t="shared" si="5"/>
        <v>0</v>
      </c>
      <c r="T94" s="198">
        <f t="shared" si="6"/>
        <v>0</v>
      </c>
      <c r="U94" s="198">
        <f t="shared" si="7"/>
        <v>0</v>
      </c>
      <c r="V94" s="198">
        <f t="shared" si="8"/>
        <v>0</v>
      </c>
      <c r="W94" s="198">
        <f t="shared" si="9"/>
        <v>0</v>
      </c>
      <c r="X94" s="198">
        <f t="shared" si="10"/>
        <v>0</v>
      </c>
      <c r="Y94" s="198">
        <f t="shared" si="11"/>
        <v>0</v>
      </c>
      <c r="Z94" s="198">
        <f t="shared" si="12"/>
        <v>0</v>
      </c>
      <c r="AB94" s="200"/>
    </row>
    <row r="95" spans="1:28" ht="15" hidden="1" customHeight="1">
      <c r="A95" s="232"/>
      <c r="B95" s="242"/>
      <c r="C95" s="242"/>
      <c r="D95" s="242"/>
      <c r="E95" s="243"/>
      <c r="F95" s="244"/>
      <c r="G95" s="244"/>
      <c r="H95" s="214"/>
      <c r="I95" s="207"/>
      <c r="J95" s="207"/>
      <c r="K95" s="245">
        <f t="shared" si="4"/>
        <v>0</v>
      </c>
      <c r="L95" s="246"/>
      <c r="M95" s="246"/>
      <c r="N95" s="246"/>
      <c r="O95" s="187" t="str">
        <f t="shared" si="3"/>
        <v/>
      </c>
      <c r="P95" s="247"/>
      <c r="Q95" s="248"/>
      <c r="S95" s="198">
        <f t="shared" si="5"/>
        <v>0</v>
      </c>
      <c r="T95" s="198">
        <f t="shared" si="6"/>
        <v>0</v>
      </c>
      <c r="U95" s="198">
        <f t="shared" si="7"/>
        <v>0</v>
      </c>
      <c r="V95" s="198">
        <f t="shared" si="8"/>
        <v>0</v>
      </c>
      <c r="W95" s="198">
        <f t="shared" si="9"/>
        <v>0</v>
      </c>
      <c r="X95" s="198">
        <f t="shared" si="10"/>
        <v>0</v>
      </c>
      <c r="Y95" s="198">
        <f t="shared" si="11"/>
        <v>0</v>
      </c>
      <c r="Z95" s="198">
        <f t="shared" si="12"/>
        <v>0</v>
      </c>
      <c r="AB95" s="200"/>
    </row>
    <row r="96" spans="1:28" ht="15" hidden="1" customHeight="1" thickBot="1">
      <c r="A96" s="232"/>
      <c r="B96" s="242"/>
      <c r="C96" s="242"/>
      <c r="D96" s="242"/>
      <c r="E96" s="243"/>
      <c r="F96" s="244"/>
      <c r="G96" s="244"/>
      <c r="H96" s="214"/>
      <c r="I96" s="207"/>
      <c r="J96" s="207"/>
      <c r="K96" s="245">
        <f t="shared" si="4"/>
        <v>0</v>
      </c>
      <c r="L96" s="246"/>
      <c r="M96" s="246"/>
      <c r="N96" s="246"/>
      <c r="O96" s="187" t="str">
        <f t="shared" si="3"/>
        <v/>
      </c>
      <c r="P96" s="247"/>
      <c r="Q96" s="248"/>
      <c r="S96" s="198">
        <f t="shared" si="5"/>
        <v>0</v>
      </c>
      <c r="T96" s="198">
        <f t="shared" si="6"/>
        <v>0</v>
      </c>
      <c r="U96" s="198">
        <f t="shared" si="7"/>
        <v>0</v>
      </c>
      <c r="V96" s="198">
        <f t="shared" si="8"/>
        <v>0</v>
      </c>
      <c r="W96" s="198">
        <f t="shared" si="9"/>
        <v>0</v>
      </c>
      <c r="X96" s="198">
        <f t="shared" si="10"/>
        <v>0</v>
      </c>
      <c r="Y96" s="198">
        <f t="shared" si="11"/>
        <v>0</v>
      </c>
      <c r="Z96" s="198">
        <f t="shared" si="12"/>
        <v>0</v>
      </c>
      <c r="AB96" s="200"/>
    </row>
    <row r="97" spans="1:28" ht="15" hidden="1" customHeight="1" thickBot="1">
      <c r="A97" s="232"/>
      <c r="B97" s="242"/>
      <c r="C97" s="242"/>
      <c r="D97" s="242"/>
      <c r="E97" s="243"/>
      <c r="F97" s="244"/>
      <c r="G97" s="244"/>
      <c r="H97" s="214"/>
      <c r="I97" s="207"/>
      <c r="J97" s="207"/>
      <c r="K97" s="245">
        <f t="shared" si="4"/>
        <v>0</v>
      </c>
      <c r="L97" s="246"/>
      <c r="M97" s="246"/>
      <c r="N97" s="246"/>
      <c r="O97" s="187" t="str">
        <f t="shared" si="3"/>
        <v/>
      </c>
      <c r="P97" s="247"/>
      <c r="Q97" s="248"/>
      <c r="S97" s="198">
        <f t="shared" si="5"/>
        <v>0</v>
      </c>
      <c r="T97" s="198">
        <f t="shared" si="6"/>
        <v>0</v>
      </c>
      <c r="U97" s="198">
        <f t="shared" si="7"/>
        <v>0</v>
      </c>
      <c r="V97" s="198">
        <f t="shared" si="8"/>
        <v>0</v>
      </c>
      <c r="W97" s="198">
        <f t="shared" si="9"/>
        <v>0</v>
      </c>
      <c r="X97" s="198">
        <f t="shared" si="10"/>
        <v>0</v>
      </c>
      <c r="Y97" s="198">
        <f t="shared" si="11"/>
        <v>0</v>
      </c>
      <c r="Z97" s="198">
        <f t="shared" si="12"/>
        <v>0</v>
      </c>
      <c r="AB97" s="200"/>
    </row>
    <row r="98" spans="1:28" ht="15" hidden="1" customHeight="1" thickBot="1">
      <c r="A98" s="232"/>
      <c r="B98" s="242"/>
      <c r="C98" s="242"/>
      <c r="D98" s="242"/>
      <c r="E98" s="243"/>
      <c r="F98" s="244"/>
      <c r="G98" s="244"/>
      <c r="H98" s="214"/>
      <c r="I98" s="207"/>
      <c r="J98" s="207"/>
      <c r="K98" s="245">
        <f t="shared" si="4"/>
        <v>0</v>
      </c>
      <c r="L98" s="246"/>
      <c r="M98" s="246"/>
      <c r="N98" s="246"/>
      <c r="O98" s="187" t="str">
        <f t="shared" si="3"/>
        <v/>
      </c>
      <c r="P98" s="247"/>
      <c r="Q98" s="248"/>
      <c r="S98" s="198">
        <f t="shared" si="5"/>
        <v>0</v>
      </c>
      <c r="T98" s="198">
        <f t="shared" si="6"/>
        <v>0</v>
      </c>
      <c r="U98" s="198">
        <f t="shared" si="7"/>
        <v>0</v>
      </c>
      <c r="V98" s="198">
        <f t="shared" si="8"/>
        <v>0</v>
      </c>
      <c r="W98" s="198">
        <f t="shared" si="9"/>
        <v>0</v>
      </c>
      <c r="X98" s="198">
        <f t="shared" si="10"/>
        <v>0</v>
      </c>
      <c r="Y98" s="198">
        <f t="shared" si="11"/>
        <v>0</v>
      </c>
      <c r="Z98" s="198">
        <f t="shared" si="12"/>
        <v>0</v>
      </c>
      <c r="AB98" s="200"/>
    </row>
    <row r="99" spans="1:28" ht="15" hidden="1" customHeight="1" thickBot="1">
      <c r="A99" s="232"/>
      <c r="B99" s="242"/>
      <c r="C99" s="242"/>
      <c r="D99" s="242"/>
      <c r="E99" s="243"/>
      <c r="F99" s="244"/>
      <c r="G99" s="244"/>
      <c r="H99" s="214"/>
      <c r="I99" s="207"/>
      <c r="J99" s="207"/>
      <c r="K99" s="245">
        <f t="shared" si="4"/>
        <v>0</v>
      </c>
      <c r="L99" s="246"/>
      <c r="M99" s="246"/>
      <c r="N99" s="246"/>
      <c r="O99" s="187" t="str">
        <f t="shared" si="3"/>
        <v/>
      </c>
      <c r="P99" s="247"/>
      <c r="Q99" s="248"/>
      <c r="S99" s="198">
        <f t="shared" si="5"/>
        <v>0</v>
      </c>
      <c r="T99" s="198">
        <f t="shared" si="6"/>
        <v>0</v>
      </c>
      <c r="U99" s="198">
        <f t="shared" si="7"/>
        <v>0</v>
      </c>
      <c r="V99" s="198">
        <f t="shared" si="8"/>
        <v>0</v>
      </c>
      <c r="W99" s="198">
        <f t="shared" si="9"/>
        <v>0</v>
      </c>
      <c r="X99" s="198">
        <f t="shared" si="10"/>
        <v>0</v>
      </c>
      <c r="Y99" s="198">
        <f t="shared" si="11"/>
        <v>0</v>
      </c>
      <c r="Z99" s="198">
        <f t="shared" si="12"/>
        <v>0</v>
      </c>
      <c r="AB99" s="200"/>
    </row>
    <row r="100" spans="1:28" ht="15" hidden="1" customHeight="1" thickBot="1">
      <c r="A100" s="232"/>
      <c r="B100" s="242"/>
      <c r="C100" s="242"/>
      <c r="D100" s="242"/>
      <c r="E100" s="243"/>
      <c r="F100" s="244"/>
      <c r="G100" s="244"/>
      <c r="H100" s="214"/>
      <c r="I100" s="207"/>
      <c r="J100" s="207"/>
      <c r="K100" s="245">
        <f t="shared" si="4"/>
        <v>0</v>
      </c>
      <c r="L100" s="246"/>
      <c r="M100" s="246"/>
      <c r="N100" s="246"/>
      <c r="O100" s="187" t="str">
        <f t="shared" si="3"/>
        <v/>
      </c>
      <c r="P100" s="247"/>
      <c r="Q100" s="248"/>
      <c r="S100" s="198">
        <f t="shared" si="5"/>
        <v>0</v>
      </c>
      <c r="T100" s="198">
        <f t="shared" si="6"/>
        <v>0</v>
      </c>
      <c r="U100" s="198">
        <f t="shared" si="7"/>
        <v>0</v>
      </c>
      <c r="V100" s="198">
        <f t="shared" si="8"/>
        <v>0</v>
      </c>
      <c r="W100" s="198">
        <f t="shared" si="9"/>
        <v>0</v>
      </c>
      <c r="X100" s="198">
        <f t="shared" si="10"/>
        <v>0</v>
      </c>
      <c r="Y100" s="198">
        <f t="shared" si="11"/>
        <v>0</v>
      </c>
      <c r="Z100" s="198">
        <f t="shared" si="12"/>
        <v>0</v>
      </c>
      <c r="AB100" s="200"/>
    </row>
    <row r="101" spans="1:28" ht="15" hidden="1" customHeight="1" thickBot="1">
      <c r="A101" s="232"/>
      <c r="B101" s="242"/>
      <c r="C101" s="242"/>
      <c r="D101" s="242"/>
      <c r="E101" s="243"/>
      <c r="F101" s="244"/>
      <c r="G101" s="244"/>
      <c r="H101" s="249"/>
      <c r="I101" s="207"/>
      <c r="J101" s="207"/>
      <c r="K101" s="245">
        <f t="shared" si="4"/>
        <v>0</v>
      </c>
      <c r="L101" s="246"/>
      <c r="M101" s="246"/>
      <c r="N101" s="246"/>
      <c r="O101" s="187" t="str">
        <f t="shared" si="3"/>
        <v/>
      </c>
      <c r="P101" s="247"/>
      <c r="Q101" s="248"/>
      <c r="S101" s="198">
        <f t="shared" si="5"/>
        <v>0</v>
      </c>
      <c r="T101" s="198">
        <f t="shared" si="6"/>
        <v>0</v>
      </c>
      <c r="U101" s="198">
        <f t="shared" si="7"/>
        <v>0</v>
      </c>
      <c r="V101" s="198">
        <f t="shared" si="8"/>
        <v>0</v>
      </c>
      <c r="W101" s="198">
        <f t="shared" si="9"/>
        <v>0</v>
      </c>
      <c r="X101" s="198">
        <f t="shared" si="10"/>
        <v>0</v>
      </c>
      <c r="Y101" s="198">
        <f t="shared" si="11"/>
        <v>0</v>
      </c>
      <c r="Z101" s="198">
        <f t="shared" si="12"/>
        <v>0</v>
      </c>
      <c r="AB101" s="200"/>
    </row>
    <row r="102" spans="1:28" ht="15" hidden="1" customHeight="1" thickBot="1">
      <c r="A102" s="250"/>
      <c r="B102" s="242"/>
      <c r="C102" s="242"/>
      <c r="D102" s="242"/>
      <c r="E102" s="243"/>
      <c r="F102" s="244"/>
      <c r="G102" s="244"/>
      <c r="H102" s="249"/>
      <c r="I102" s="207"/>
      <c r="J102" s="207"/>
      <c r="K102" s="245">
        <f t="shared" si="4"/>
        <v>0</v>
      </c>
      <c r="L102" s="246"/>
      <c r="M102" s="246"/>
      <c r="N102" s="246"/>
      <c r="O102" s="187" t="str">
        <f t="shared" si="3"/>
        <v/>
      </c>
      <c r="P102" s="247"/>
      <c r="Q102" s="248"/>
      <c r="S102" s="198">
        <f t="shared" si="5"/>
        <v>0</v>
      </c>
      <c r="T102" s="198">
        <f t="shared" si="6"/>
        <v>0</v>
      </c>
      <c r="U102" s="198">
        <f t="shared" si="7"/>
        <v>0</v>
      </c>
      <c r="V102" s="198">
        <f t="shared" si="8"/>
        <v>0</v>
      </c>
      <c r="W102" s="198">
        <f t="shared" si="9"/>
        <v>0</v>
      </c>
      <c r="X102" s="198">
        <f t="shared" si="10"/>
        <v>0</v>
      </c>
      <c r="Y102" s="198">
        <f t="shared" si="11"/>
        <v>0</v>
      </c>
      <c r="Z102" s="198">
        <f t="shared" si="12"/>
        <v>0</v>
      </c>
      <c r="AB102" s="200"/>
    </row>
    <row r="103" spans="1:28" ht="15" hidden="1" customHeight="1" thickBot="1">
      <c r="A103" s="251">
        <f>A42</f>
        <v>0</v>
      </c>
      <c r="B103" s="242"/>
      <c r="C103" s="242"/>
      <c r="D103" s="242"/>
      <c r="E103" s="252"/>
      <c r="F103" s="253"/>
      <c r="G103" s="253"/>
      <c r="H103" s="254"/>
      <c r="I103" s="255"/>
      <c r="J103" s="255"/>
      <c r="K103" s="256">
        <f t="shared" si="4"/>
        <v>0</v>
      </c>
      <c r="L103" s="257"/>
      <c r="M103" s="257"/>
      <c r="N103" s="257"/>
      <c r="O103" s="187" t="str">
        <f t="shared" si="3"/>
        <v/>
      </c>
      <c r="P103" s="258"/>
      <c r="Q103" s="259"/>
      <c r="S103" s="198">
        <f t="shared" si="5"/>
        <v>0</v>
      </c>
      <c r="T103" s="198">
        <f t="shared" si="6"/>
        <v>0</v>
      </c>
      <c r="U103" s="198">
        <f t="shared" si="7"/>
        <v>0</v>
      </c>
      <c r="V103" s="198">
        <f t="shared" si="8"/>
        <v>0</v>
      </c>
      <c r="W103" s="198">
        <f t="shared" si="9"/>
        <v>0</v>
      </c>
      <c r="X103" s="198">
        <f t="shared" si="10"/>
        <v>0</v>
      </c>
      <c r="Y103" s="198">
        <f t="shared" si="11"/>
        <v>0</v>
      </c>
      <c r="Z103" s="198">
        <f t="shared" si="12"/>
        <v>0</v>
      </c>
      <c r="AB103" s="200"/>
    </row>
    <row r="104" spans="1:28" ht="15" hidden="1" customHeight="1" thickBot="1">
      <c r="A104" s="232"/>
      <c r="B104" s="242"/>
      <c r="C104" s="242"/>
      <c r="D104" s="242"/>
      <c r="E104" s="260"/>
      <c r="F104" s="261"/>
      <c r="G104" s="261"/>
      <c r="H104" s="262"/>
      <c r="I104" s="263"/>
      <c r="J104" s="263"/>
      <c r="K104" s="245">
        <f t="shared" si="4"/>
        <v>0</v>
      </c>
      <c r="L104" s="264"/>
      <c r="M104" s="264"/>
      <c r="N104" s="264"/>
      <c r="O104" s="187" t="str">
        <f t="shared" si="3"/>
        <v/>
      </c>
      <c r="P104" s="265"/>
      <c r="Q104" s="266"/>
      <c r="S104" s="198">
        <f t="shared" si="5"/>
        <v>0</v>
      </c>
      <c r="T104" s="198">
        <f t="shared" si="6"/>
        <v>0</v>
      </c>
      <c r="U104" s="198">
        <f t="shared" si="7"/>
        <v>0</v>
      </c>
      <c r="V104" s="198">
        <f t="shared" si="8"/>
        <v>0</v>
      </c>
      <c r="W104" s="198">
        <f t="shared" si="9"/>
        <v>0</v>
      </c>
      <c r="X104" s="198">
        <f t="shared" si="10"/>
        <v>0</v>
      </c>
      <c r="Y104" s="198">
        <f t="shared" si="11"/>
        <v>0</v>
      </c>
      <c r="Z104" s="198">
        <f t="shared" si="12"/>
        <v>0</v>
      </c>
      <c r="AB104" s="200"/>
    </row>
    <row r="105" spans="1:28" ht="15" hidden="1" customHeight="1" thickBot="1">
      <c r="A105" s="232"/>
      <c r="B105" s="242"/>
      <c r="C105" s="242"/>
      <c r="D105" s="242"/>
      <c r="E105" s="260"/>
      <c r="F105" s="261"/>
      <c r="G105" s="261"/>
      <c r="H105" s="262"/>
      <c r="I105" s="263"/>
      <c r="J105" s="263"/>
      <c r="K105" s="245">
        <f t="shared" si="4"/>
        <v>0</v>
      </c>
      <c r="L105" s="264"/>
      <c r="M105" s="264"/>
      <c r="N105" s="264"/>
      <c r="O105" s="187" t="str">
        <f t="shared" si="3"/>
        <v/>
      </c>
      <c r="P105" s="265"/>
      <c r="Q105" s="266"/>
      <c r="S105" s="198">
        <f t="shared" si="5"/>
        <v>0</v>
      </c>
      <c r="T105" s="198">
        <f t="shared" si="6"/>
        <v>0</v>
      </c>
      <c r="U105" s="198">
        <f t="shared" si="7"/>
        <v>0</v>
      </c>
      <c r="V105" s="198">
        <f t="shared" si="8"/>
        <v>0</v>
      </c>
      <c r="W105" s="198">
        <f t="shared" si="9"/>
        <v>0</v>
      </c>
      <c r="X105" s="198">
        <f t="shared" si="10"/>
        <v>0</v>
      </c>
      <c r="Y105" s="198">
        <f t="shared" si="11"/>
        <v>0</v>
      </c>
      <c r="Z105" s="198">
        <f t="shared" si="12"/>
        <v>0</v>
      </c>
      <c r="AB105" s="200"/>
    </row>
    <row r="106" spans="1:28" ht="15" hidden="1" customHeight="1" thickBot="1">
      <c r="A106" s="232"/>
      <c r="B106" s="242"/>
      <c r="C106" s="242"/>
      <c r="D106" s="242"/>
      <c r="E106" s="260"/>
      <c r="F106" s="261"/>
      <c r="G106" s="261"/>
      <c r="H106" s="262"/>
      <c r="I106" s="263"/>
      <c r="J106" s="263"/>
      <c r="K106" s="245">
        <f t="shared" si="4"/>
        <v>0</v>
      </c>
      <c r="L106" s="264"/>
      <c r="M106" s="264"/>
      <c r="N106" s="264"/>
      <c r="O106" s="187" t="str">
        <f t="shared" si="3"/>
        <v/>
      </c>
      <c r="P106" s="265"/>
      <c r="Q106" s="266"/>
      <c r="S106" s="198">
        <f t="shared" si="5"/>
        <v>0</v>
      </c>
      <c r="T106" s="198">
        <f t="shared" si="6"/>
        <v>0</v>
      </c>
      <c r="U106" s="198">
        <f t="shared" si="7"/>
        <v>0</v>
      </c>
      <c r="V106" s="198">
        <f t="shared" si="8"/>
        <v>0</v>
      </c>
      <c r="W106" s="198">
        <f t="shared" si="9"/>
        <v>0</v>
      </c>
      <c r="X106" s="198">
        <f t="shared" si="10"/>
        <v>0</v>
      </c>
      <c r="Y106" s="198">
        <f t="shared" si="11"/>
        <v>0</v>
      </c>
      <c r="Z106" s="198">
        <f t="shared" si="12"/>
        <v>0</v>
      </c>
      <c r="AB106" s="200"/>
    </row>
    <row r="107" spans="1:28" ht="15" hidden="1" customHeight="1" thickBot="1">
      <c r="A107" s="232"/>
      <c r="B107" s="242"/>
      <c r="C107" s="242"/>
      <c r="D107" s="242"/>
      <c r="E107" s="260"/>
      <c r="F107" s="261"/>
      <c r="G107" s="261"/>
      <c r="H107" s="262"/>
      <c r="I107" s="263"/>
      <c r="J107" s="263"/>
      <c r="K107" s="245">
        <f t="shared" si="4"/>
        <v>0</v>
      </c>
      <c r="L107" s="264"/>
      <c r="M107" s="264"/>
      <c r="N107" s="264"/>
      <c r="O107" s="187" t="str">
        <f t="shared" si="3"/>
        <v/>
      </c>
      <c r="P107" s="265"/>
      <c r="Q107" s="266"/>
      <c r="S107" s="198">
        <f t="shared" si="5"/>
        <v>0</v>
      </c>
      <c r="T107" s="198">
        <f t="shared" si="6"/>
        <v>0</v>
      </c>
      <c r="U107" s="198">
        <f t="shared" si="7"/>
        <v>0</v>
      </c>
      <c r="V107" s="198">
        <f t="shared" si="8"/>
        <v>0</v>
      </c>
      <c r="W107" s="198">
        <f t="shared" si="9"/>
        <v>0</v>
      </c>
      <c r="X107" s="198">
        <f t="shared" si="10"/>
        <v>0</v>
      </c>
      <c r="Y107" s="198">
        <f t="shared" si="11"/>
        <v>0</v>
      </c>
      <c r="Z107" s="198">
        <f t="shared" si="12"/>
        <v>0</v>
      </c>
      <c r="AB107" s="200"/>
    </row>
    <row r="108" spans="1:28" ht="15" hidden="1" customHeight="1" thickBot="1">
      <c r="A108" s="232"/>
      <c r="B108" s="242"/>
      <c r="C108" s="242"/>
      <c r="D108" s="242"/>
      <c r="E108" s="260"/>
      <c r="F108" s="261"/>
      <c r="G108" s="261"/>
      <c r="H108" s="262"/>
      <c r="I108" s="263"/>
      <c r="J108" s="263"/>
      <c r="K108" s="245">
        <f t="shared" si="4"/>
        <v>0</v>
      </c>
      <c r="L108" s="264"/>
      <c r="M108" s="264"/>
      <c r="N108" s="264"/>
      <c r="O108" s="187" t="str">
        <f t="shared" si="3"/>
        <v/>
      </c>
      <c r="P108" s="265"/>
      <c r="Q108" s="266"/>
      <c r="S108" s="198">
        <f t="shared" si="5"/>
        <v>0</v>
      </c>
      <c r="T108" s="198">
        <f t="shared" si="6"/>
        <v>0</v>
      </c>
      <c r="U108" s="198">
        <f t="shared" si="7"/>
        <v>0</v>
      </c>
      <c r="V108" s="198">
        <f t="shared" si="8"/>
        <v>0</v>
      </c>
      <c r="W108" s="198">
        <f t="shared" si="9"/>
        <v>0</v>
      </c>
      <c r="X108" s="198">
        <f t="shared" si="10"/>
        <v>0</v>
      </c>
      <c r="Y108" s="198">
        <f t="shared" si="11"/>
        <v>0</v>
      </c>
      <c r="Z108" s="198">
        <f t="shared" si="12"/>
        <v>0</v>
      </c>
      <c r="AB108" s="200"/>
    </row>
    <row r="109" spans="1:28" ht="15" hidden="1" customHeight="1" thickBot="1">
      <c r="A109" s="232"/>
      <c r="B109" s="242"/>
      <c r="C109" s="242"/>
      <c r="D109" s="242"/>
      <c r="E109" s="260"/>
      <c r="F109" s="261"/>
      <c r="G109" s="261"/>
      <c r="H109" s="262"/>
      <c r="I109" s="263"/>
      <c r="J109" s="263"/>
      <c r="K109" s="245">
        <f t="shared" si="4"/>
        <v>0</v>
      </c>
      <c r="L109" s="264"/>
      <c r="M109" s="264"/>
      <c r="N109" s="264"/>
      <c r="O109" s="187" t="str">
        <f t="shared" si="3"/>
        <v/>
      </c>
      <c r="P109" s="265"/>
      <c r="Q109" s="266"/>
      <c r="S109" s="198">
        <f t="shared" si="5"/>
        <v>0</v>
      </c>
      <c r="T109" s="198">
        <f t="shared" si="6"/>
        <v>0</v>
      </c>
      <c r="U109" s="198">
        <f t="shared" si="7"/>
        <v>0</v>
      </c>
      <c r="V109" s="198">
        <f t="shared" si="8"/>
        <v>0</v>
      </c>
      <c r="W109" s="198">
        <f t="shared" si="9"/>
        <v>0</v>
      </c>
      <c r="X109" s="198">
        <f t="shared" si="10"/>
        <v>0</v>
      </c>
      <c r="Y109" s="198">
        <f t="shared" si="11"/>
        <v>0</v>
      </c>
      <c r="Z109" s="198">
        <f t="shared" si="12"/>
        <v>0</v>
      </c>
      <c r="AB109" s="200"/>
    </row>
    <row r="110" spans="1:28" ht="15" hidden="1" customHeight="1" thickBot="1">
      <c r="A110" s="232"/>
      <c r="B110" s="242"/>
      <c r="C110" s="242"/>
      <c r="D110" s="242"/>
      <c r="E110" s="260"/>
      <c r="F110" s="261"/>
      <c r="G110" s="261"/>
      <c r="H110" s="262"/>
      <c r="I110" s="263"/>
      <c r="J110" s="263"/>
      <c r="K110" s="245">
        <f t="shared" si="4"/>
        <v>0</v>
      </c>
      <c r="L110" s="264"/>
      <c r="M110" s="264"/>
      <c r="N110" s="264"/>
      <c r="O110" s="187" t="str">
        <f t="shared" si="3"/>
        <v/>
      </c>
      <c r="P110" s="265"/>
      <c r="Q110" s="266"/>
      <c r="S110" s="198">
        <f t="shared" si="5"/>
        <v>0</v>
      </c>
      <c r="T110" s="198">
        <f t="shared" si="6"/>
        <v>0</v>
      </c>
      <c r="U110" s="198">
        <f t="shared" si="7"/>
        <v>0</v>
      </c>
      <c r="V110" s="198">
        <f t="shared" si="8"/>
        <v>0</v>
      </c>
      <c r="W110" s="198">
        <f t="shared" si="9"/>
        <v>0</v>
      </c>
      <c r="X110" s="198">
        <f t="shared" si="10"/>
        <v>0</v>
      </c>
      <c r="Y110" s="198">
        <f t="shared" si="11"/>
        <v>0</v>
      </c>
      <c r="Z110" s="198">
        <f t="shared" si="12"/>
        <v>0</v>
      </c>
      <c r="AB110" s="200"/>
    </row>
    <row r="111" spans="1:28" ht="15" hidden="1" customHeight="1" thickBot="1">
      <c r="A111" s="232"/>
      <c r="B111" s="242"/>
      <c r="C111" s="242"/>
      <c r="D111" s="242"/>
      <c r="E111" s="260"/>
      <c r="F111" s="261"/>
      <c r="G111" s="261"/>
      <c r="H111" s="262"/>
      <c r="I111" s="263"/>
      <c r="J111" s="263"/>
      <c r="K111" s="245">
        <f t="shared" si="4"/>
        <v>0</v>
      </c>
      <c r="L111" s="264"/>
      <c r="M111" s="264"/>
      <c r="N111" s="264"/>
      <c r="O111" s="187" t="str">
        <f t="shared" ref="O111:O113" si="21">IF(H111=$V$5,$F$7,"")</f>
        <v/>
      </c>
      <c r="P111" s="265"/>
      <c r="Q111" s="266"/>
      <c r="S111" s="198">
        <f t="shared" si="5"/>
        <v>0</v>
      </c>
      <c r="T111" s="198">
        <f t="shared" si="6"/>
        <v>0</v>
      </c>
      <c r="U111" s="198">
        <f t="shared" si="7"/>
        <v>0</v>
      </c>
      <c r="V111" s="198">
        <f t="shared" si="8"/>
        <v>0</v>
      </c>
      <c r="W111" s="198">
        <f t="shared" si="9"/>
        <v>0</v>
      </c>
      <c r="X111" s="198">
        <f t="shared" si="10"/>
        <v>0</v>
      </c>
      <c r="Y111" s="198">
        <f t="shared" si="11"/>
        <v>0</v>
      </c>
      <c r="Z111" s="198">
        <f t="shared" si="12"/>
        <v>0</v>
      </c>
      <c r="AB111" s="200"/>
    </row>
    <row r="112" spans="1:28" ht="15" hidden="1" customHeight="1" thickBot="1">
      <c r="A112" s="232"/>
      <c r="B112" s="242"/>
      <c r="C112" s="242"/>
      <c r="D112" s="242"/>
      <c r="E112" s="260"/>
      <c r="F112" s="261"/>
      <c r="G112" s="261"/>
      <c r="H112" s="267"/>
      <c r="I112" s="263"/>
      <c r="J112" s="263"/>
      <c r="K112" s="245">
        <f>(J112-I112+(J112&lt;I112))*24*60</f>
        <v>0</v>
      </c>
      <c r="L112" s="264"/>
      <c r="M112" s="264"/>
      <c r="N112" s="264"/>
      <c r="O112" s="187" t="str">
        <f t="shared" si="21"/>
        <v/>
      </c>
      <c r="P112" s="265"/>
      <c r="Q112" s="266"/>
      <c r="S112" s="198">
        <f>IF($H112="ПЛАНОВЫЕ",$K112,0)</f>
        <v>0</v>
      </c>
      <c r="T112" s="198">
        <f>IF($H112="ПРОИЗВОДСТВЕННЫЕ",$K112,0)</f>
        <v>0</v>
      </c>
      <c r="U112" s="198">
        <f>IF($H112="ТЕХНИЧЕСКИЕ",$K112,0)</f>
        <v>0</v>
      </c>
      <c r="V112" s="198">
        <f>IF($H112="ТЕХНОЛОГИЧЕСКИЕ",$K112,0)</f>
        <v>0</v>
      </c>
      <c r="W112" s="198">
        <f>IF($H112="ЛАБОРАТОРНЫЕ",$K112,0)</f>
        <v>0</v>
      </c>
      <c r="X112" s="198">
        <f>IF($H112="СЫРЬЕВЫЕ",$K112,0)</f>
        <v>0</v>
      </c>
      <c r="Y112" s="198">
        <f>IF($H112="ЛОГИСТИЧЕСКИЕ",$K112,0)</f>
        <v>0</v>
      </c>
      <c r="Z112" s="198">
        <f>IF($H112="ОБЩЕЗАВОДСКИЕ",$K112,0)</f>
        <v>0</v>
      </c>
      <c r="AB112" s="200"/>
    </row>
    <row r="113" spans="1:28" ht="15" hidden="1" customHeight="1" thickBot="1">
      <c r="A113" s="232"/>
      <c r="B113" s="242"/>
      <c r="C113" s="242"/>
      <c r="D113" s="242"/>
      <c r="E113" s="260"/>
      <c r="F113" s="261"/>
      <c r="G113" s="261"/>
      <c r="H113" s="267"/>
      <c r="I113" s="263"/>
      <c r="J113" s="263"/>
      <c r="K113" s="245">
        <f>(J113-I113+(J113&lt;I113))*24*60</f>
        <v>0</v>
      </c>
      <c r="L113" s="264"/>
      <c r="M113" s="264"/>
      <c r="N113" s="264"/>
      <c r="O113" s="187" t="str">
        <f t="shared" si="21"/>
        <v/>
      </c>
      <c r="P113" s="265"/>
      <c r="Q113" s="266"/>
      <c r="S113" s="198">
        <f>IF($H113="ПЛАНОВЫЕ",$K113,0)</f>
        <v>0</v>
      </c>
      <c r="T113" s="198">
        <f>IF($H113="ПРОИЗВОДСТВЕННЫЕ",$K113,0)</f>
        <v>0</v>
      </c>
      <c r="U113" s="198">
        <f>IF($H113="ТЕХНИЧЕСКИЕ",$K113,0)</f>
        <v>0</v>
      </c>
      <c r="V113" s="198">
        <f>IF($H113="ТЕХНОЛОГИЧЕСКИЕ",$K113,0)</f>
        <v>0</v>
      </c>
      <c r="W113" s="198">
        <f>IF($H113="ЛАБОРАТОРНЫЕ",$K113,0)</f>
        <v>0</v>
      </c>
      <c r="X113" s="198">
        <f>IF($H113="СЫРЬЕВЫЕ",$K113,0)</f>
        <v>0</v>
      </c>
      <c r="Y113" s="198">
        <f>IF($H113="ЛОГИСТИЧЕСКИЕ",$K113,0)</f>
        <v>0</v>
      </c>
      <c r="Z113" s="198">
        <f>IF($H113="ОБЩЕЗАВОДСКИЕ",$K113,0)</f>
        <v>0</v>
      </c>
      <c r="AB113" s="200"/>
    </row>
    <row r="114" spans="1:28" ht="13.8" thickBot="1">
      <c r="S114" s="268">
        <f t="shared" ref="S114:Z114" si="22">SUM(S47:S113)</f>
        <v>25.000000000000071</v>
      </c>
      <c r="T114" s="268">
        <f t="shared" si="22"/>
        <v>0</v>
      </c>
      <c r="U114" s="268">
        <f t="shared" si="22"/>
        <v>0</v>
      </c>
      <c r="V114" s="268">
        <f t="shared" si="22"/>
        <v>0</v>
      </c>
      <c r="W114" s="268">
        <f t="shared" si="22"/>
        <v>0</v>
      </c>
      <c r="X114" s="268">
        <f t="shared" si="22"/>
        <v>0</v>
      </c>
      <c r="Y114" s="268">
        <f t="shared" si="22"/>
        <v>0</v>
      </c>
      <c r="Z114" s="268">
        <f t="shared" si="22"/>
        <v>459.99999999999994</v>
      </c>
      <c r="AA114" s="269">
        <f>SUM(S114:Z114)</f>
        <v>485</v>
      </c>
      <c r="AB114" s="200"/>
    </row>
    <row r="116" spans="1:28" ht="15">
      <c r="A116" s="1" t="s">
        <v>0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2"/>
      <c r="S116" s="2"/>
      <c r="T116" s="2"/>
      <c r="U116" s="2"/>
    </row>
    <row r="117" spans="1:28" ht="15.6" thickBot="1">
      <c r="A117" s="4" t="s">
        <v>99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  <c r="S117" s="5"/>
      <c r="T117" s="5"/>
      <c r="U117" s="5"/>
    </row>
    <row r="118" spans="1:28" ht="18" thickBot="1">
      <c r="A118" s="6" t="s">
        <v>100</v>
      </c>
      <c r="B118" s="7"/>
      <c r="C118" s="7"/>
      <c r="D118" s="7"/>
      <c r="E118" s="8"/>
      <c r="F118" s="270"/>
      <c r="G118" s="271"/>
      <c r="H118" s="272"/>
      <c r="I118" s="11" t="s">
        <v>4</v>
      </c>
      <c r="J118" s="12">
        <v>7400</v>
      </c>
      <c r="K118" s="13" t="s">
        <v>5</v>
      </c>
      <c r="L118" s="13">
        <v>720</v>
      </c>
      <c r="V118" s="14" t="s">
        <v>6</v>
      </c>
    </row>
    <row r="119" spans="1:28" ht="20.25" customHeight="1">
      <c r="A119" s="15" t="s">
        <v>7</v>
      </c>
      <c r="B119" s="16"/>
      <c r="C119" s="16"/>
      <c r="D119" s="16"/>
      <c r="E119" s="17"/>
      <c r="F119" s="18" t="s">
        <v>8</v>
      </c>
      <c r="G119" s="19"/>
      <c r="H119" s="20"/>
      <c r="I119" s="18" t="s">
        <v>9</v>
      </c>
      <c r="J119" s="21"/>
      <c r="K119" s="22" t="s">
        <v>10</v>
      </c>
      <c r="L119" s="17"/>
      <c r="M119" s="23"/>
      <c r="N119" s="24" t="s">
        <v>11</v>
      </c>
      <c r="O119" s="25"/>
      <c r="P119" s="25"/>
      <c r="Q119" s="25"/>
      <c r="R119" s="25"/>
      <c r="S119" s="25"/>
      <c r="T119" s="25"/>
      <c r="U119" s="25"/>
      <c r="V119" s="14" t="s">
        <v>12</v>
      </c>
      <c r="X119" s="26"/>
    </row>
    <row r="120" spans="1:28" ht="13.8">
      <c r="A120" s="27" t="s">
        <v>13</v>
      </c>
      <c r="B120" s="28"/>
      <c r="C120" s="28"/>
      <c r="D120" s="28"/>
      <c r="E120" s="29"/>
      <c r="F120" s="30" t="s">
        <v>101</v>
      </c>
      <c r="G120" s="31"/>
      <c r="H120" s="32"/>
      <c r="I120" s="30" t="s">
        <v>15</v>
      </c>
      <c r="J120" s="32" t="s">
        <v>15</v>
      </c>
      <c r="K120" s="30" t="s">
        <v>102</v>
      </c>
      <c r="L120" s="32"/>
      <c r="N120" s="33"/>
      <c r="O120" s="34" t="s">
        <v>17</v>
      </c>
      <c r="P120" s="35"/>
      <c r="Q120" s="35"/>
      <c r="R120" s="36"/>
      <c r="S120" s="36"/>
      <c r="T120" s="36"/>
      <c r="U120" s="36"/>
      <c r="V120" s="14" t="s">
        <v>18</v>
      </c>
      <c r="X120" s="37"/>
    </row>
    <row r="121" spans="1:28" ht="13.8">
      <c r="A121" s="27" t="s">
        <v>19</v>
      </c>
      <c r="B121" s="28"/>
      <c r="C121" s="28"/>
      <c r="D121" s="28"/>
      <c r="E121" s="29"/>
      <c r="F121" s="30" t="s">
        <v>103</v>
      </c>
      <c r="G121" s="31"/>
      <c r="H121" s="32"/>
      <c r="I121" s="30" t="s">
        <v>21</v>
      </c>
      <c r="J121" s="32" t="s">
        <v>21</v>
      </c>
      <c r="K121" s="30" t="s">
        <v>104</v>
      </c>
      <c r="L121" s="32"/>
      <c r="N121" s="38"/>
      <c r="O121" s="39"/>
      <c r="P121" s="40"/>
      <c r="Q121" s="40"/>
      <c r="R121" s="41"/>
      <c r="S121" s="41"/>
      <c r="T121" s="41"/>
      <c r="U121" s="41"/>
      <c r="V121" s="14" t="s">
        <v>23</v>
      </c>
      <c r="X121" s="37"/>
    </row>
    <row r="122" spans="1:28" ht="16.5" customHeight="1">
      <c r="A122" s="42" t="s">
        <v>24</v>
      </c>
      <c r="B122" s="28"/>
      <c r="C122" s="28"/>
      <c r="D122" s="28"/>
      <c r="E122" s="29"/>
      <c r="F122" s="30"/>
      <c r="G122" s="31"/>
      <c r="H122" s="32"/>
      <c r="I122" s="30" t="s">
        <v>26</v>
      </c>
      <c r="J122" s="32" t="s">
        <v>26</v>
      </c>
      <c r="K122" s="30" t="s">
        <v>105</v>
      </c>
      <c r="L122" s="32"/>
      <c r="N122" s="43"/>
      <c r="O122" s="34" t="s">
        <v>28</v>
      </c>
      <c r="P122" s="35"/>
      <c r="Q122" s="44"/>
      <c r="R122" s="45"/>
      <c r="S122" s="45"/>
      <c r="T122" s="45"/>
      <c r="U122" s="45"/>
      <c r="V122" s="14" t="s">
        <v>29</v>
      </c>
      <c r="X122" s="37"/>
    </row>
    <row r="123" spans="1:28" ht="16.2" customHeight="1">
      <c r="A123" s="30"/>
      <c r="B123" s="31"/>
      <c r="C123" s="31"/>
      <c r="D123" s="31"/>
      <c r="E123" s="32"/>
      <c r="F123" s="30"/>
      <c r="G123" s="31"/>
      <c r="H123" s="32"/>
      <c r="I123" s="30" t="s">
        <v>30</v>
      </c>
      <c r="J123" s="32" t="s">
        <v>30</v>
      </c>
      <c r="K123" s="30" t="s">
        <v>106</v>
      </c>
      <c r="L123" s="32"/>
      <c r="N123" s="46"/>
      <c r="O123" s="47"/>
      <c r="P123" s="48"/>
      <c r="Q123" s="49"/>
      <c r="R123" s="50"/>
      <c r="S123" s="50"/>
      <c r="T123" s="50"/>
      <c r="U123" s="50"/>
      <c r="V123" s="14" t="s">
        <v>31</v>
      </c>
      <c r="X123" s="37"/>
    </row>
    <row r="124" spans="1:28" ht="13.8">
      <c r="A124" s="30"/>
      <c r="B124" s="31"/>
      <c r="C124" s="31"/>
      <c r="D124" s="31"/>
      <c r="E124" s="32"/>
      <c r="F124" s="30"/>
      <c r="G124" s="31"/>
      <c r="H124" s="32"/>
      <c r="I124" s="30" t="s">
        <v>32</v>
      </c>
      <c r="J124" s="32" t="s">
        <v>32</v>
      </c>
      <c r="K124" s="30" t="s">
        <v>107</v>
      </c>
      <c r="L124" s="32"/>
      <c r="N124" s="273"/>
      <c r="O124" s="273"/>
      <c r="P124" s="274"/>
      <c r="Q124" s="274"/>
      <c r="R124" s="275"/>
      <c r="S124" s="275"/>
      <c r="T124" s="275"/>
      <c r="U124" s="275"/>
      <c r="V124" s="14" t="s">
        <v>34</v>
      </c>
      <c r="X124" s="37"/>
    </row>
    <row r="125" spans="1:28" ht="14.4" customHeight="1">
      <c r="A125" s="30"/>
      <c r="B125" s="31"/>
      <c r="C125" s="31"/>
      <c r="D125" s="31"/>
      <c r="E125" s="32"/>
      <c r="F125" s="30"/>
      <c r="G125" s="31"/>
      <c r="H125" s="32"/>
      <c r="I125" s="30" t="s">
        <v>108</v>
      </c>
      <c r="J125" s="32" t="s">
        <v>32</v>
      </c>
      <c r="K125" s="276" t="s">
        <v>109</v>
      </c>
      <c r="L125" s="277"/>
      <c r="N125" s="278"/>
      <c r="O125" s="278"/>
      <c r="P125" s="275"/>
      <c r="Q125" s="275"/>
      <c r="R125" s="275"/>
      <c r="S125" s="275"/>
      <c r="T125" s="275"/>
      <c r="U125" s="275"/>
      <c r="V125" s="14"/>
      <c r="X125" s="37"/>
    </row>
    <row r="126" spans="1:28" ht="14.4" customHeight="1">
      <c r="A126" s="30"/>
      <c r="B126" s="31"/>
      <c r="C126" s="31"/>
      <c r="D126" s="31"/>
      <c r="E126" s="32"/>
      <c r="F126" s="30"/>
      <c r="G126" s="31"/>
      <c r="H126" s="32"/>
      <c r="I126" s="30" t="s">
        <v>36</v>
      </c>
      <c r="J126" s="32" t="s">
        <v>36</v>
      </c>
      <c r="K126" s="30" t="s">
        <v>110</v>
      </c>
      <c r="L126" s="32"/>
      <c r="N126" s="278"/>
      <c r="O126" s="278"/>
      <c r="P126" s="275"/>
      <c r="Q126" s="275"/>
      <c r="R126" s="275"/>
      <c r="S126" s="275"/>
      <c r="T126" s="275"/>
      <c r="U126" s="275"/>
      <c r="V126" s="14"/>
      <c r="X126" s="37"/>
    </row>
    <row r="127" spans="1:28" ht="14.4" customHeight="1">
      <c r="A127" s="30"/>
      <c r="B127" s="31"/>
      <c r="C127" s="31"/>
      <c r="D127" s="31"/>
      <c r="E127" s="32"/>
      <c r="F127" s="30"/>
      <c r="G127" s="31"/>
      <c r="H127" s="32"/>
      <c r="I127" s="30"/>
      <c r="J127" s="32"/>
      <c r="K127" s="30"/>
      <c r="L127" s="32"/>
      <c r="N127" s="278"/>
      <c r="O127" s="278"/>
      <c r="P127" s="275"/>
      <c r="Q127" s="275"/>
      <c r="R127" s="275"/>
      <c r="S127" s="275"/>
      <c r="T127" s="275"/>
      <c r="U127" s="275"/>
      <c r="V127" s="14"/>
      <c r="X127" s="37"/>
    </row>
    <row r="128" spans="1:28" ht="14.4" customHeight="1" thickBot="1">
      <c r="A128" s="30"/>
      <c r="B128" s="31"/>
      <c r="C128" s="31"/>
      <c r="D128" s="31"/>
      <c r="E128" s="32"/>
      <c r="F128" s="30"/>
      <c r="G128" s="31"/>
      <c r="H128" s="32"/>
      <c r="I128" s="30"/>
      <c r="J128" s="32"/>
      <c r="K128" s="30"/>
      <c r="L128" s="32"/>
      <c r="N128" s="278"/>
      <c r="O128" s="278"/>
      <c r="P128" s="275"/>
      <c r="Q128" s="275"/>
      <c r="R128" s="275"/>
      <c r="S128" s="275"/>
      <c r="T128" s="275"/>
      <c r="U128" s="275"/>
      <c r="V128" s="14"/>
      <c r="X128" s="37"/>
    </row>
    <row r="129" spans="1:24" ht="18.75" customHeight="1" thickBot="1">
      <c r="A129" s="55" t="s">
        <v>38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7"/>
      <c r="N129" s="58" t="s">
        <v>39</v>
      </c>
      <c r="O129" s="59"/>
      <c r="P129" s="59"/>
      <c r="Q129" s="59"/>
      <c r="R129" s="59"/>
      <c r="S129" s="59"/>
      <c r="T129" s="59"/>
      <c r="U129" s="60"/>
      <c r="V129" s="14" t="s">
        <v>40</v>
      </c>
      <c r="X129" s="37"/>
    </row>
    <row r="130" spans="1:24" ht="8.25" customHeight="1">
      <c r="A130" s="61" t="s">
        <v>41</v>
      </c>
      <c r="B130" s="61" t="s">
        <v>42</v>
      </c>
      <c r="C130" s="61" t="s">
        <v>43</v>
      </c>
      <c r="D130" s="61" t="s">
        <v>44</v>
      </c>
      <c r="E130" s="61" t="s">
        <v>45</v>
      </c>
      <c r="F130" s="61" t="s">
        <v>46</v>
      </c>
      <c r="G130" s="61" t="s">
        <v>47</v>
      </c>
      <c r="H130" s="61" t="s">
        <v>48</v>
      </c>
      <c r="I130" s="61" t="s">
        <v>49</v>
      </c>
      <c r="J130" s="61" t="s">
        <v>50</v>
      </c>
      <c r="K130" s="61" t="s">
        <v>51</v>
      </c>
      <c r="L130" s="61" t="s">
        <v>52</v>
      </c>
      <c r="N130" s="62" t="s">
        <v>53</v>
      </c>
      <c r="O130" s="62"/>
      <c r="P130" s="63" t="s">
        <v>54</v>
      </c>
      <c r="Q130" s="64"/>
      <c r="R130" s="64"/>
      <c r="S130" s="64"/>
      <c r="T130" s="64"/>
      <c r="U130" s="65"/>
      <c r="V130" s="62" t="s">
        <v>55</v>
      </c>
      <c r="X130" s="37"/>
    </row>
    <row r="131" spans="1:24" ht="12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N131" s="62"/>
      <c r="O131" s="62"/>
      <c r="P131" s="67"/>
      <c r="Q131" s="68"/>
      <c r="R131" s="68"/>
      <c r="S131" s="68"/>
      <c r="T131" s="68"/>
      <c r="U131" s="69"/>
      <c r="V131" s="62"/>
      <c r="X131" s="37"/>
    </row>
    <row r="132" spans="1:24" ht="12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N132" s="62"/>
      <c r="O132" s="62"/>
      <c r="P132" s="67"/>
      <c r="Q132" s="68"/>
      <c r="R132" s="68"/>
      <c r="S132" s="68"/>
      <c r="T132" s="68"/>
      <c r="U132" s="69"/>
      <c r="V132" s="62"/>
      <c r="X132" s="37"/>
    </row>
    <row r="133" spans="1:24" ht="3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N133" s="62"/>
      <c r="O133" s="62"/>
      <c r="P133" s="70"/>
      <c r="Q133" s="71"/>
      <c r="R133" s="71"/>
      <c r="S133" s="71"/>
      <c r="T133" s="71"/>
      <c r="U133" s="72"/>
      <c r="V133" s="62"/>
      <c r="X133" s="37"/>
    </row>
    <row r="134" spans="1:24" ht="45.75" customHeight="1" thickBot="1">
      <c r="A134" s="66"/>
      <c r="B134" s="66"/>
      <c r="C134" s="66"/>
      <c r="D134" s="73"/>
      <c r="E134" s="73"/>
      <c r="F134" s="73"/>
      <c r="G134" s="73"/>
      <c r="H134" s="73"/>
      <c r="I134" s="73"/>
      <c r="J134" s="73"/>
      <c r="K134" s="73"/>
      <c r="L134" s="66"/>
      <c r="M134" s="74"/>
      <c r="N134" s="75" t="s">
        <v>56</v>
      </c>
      <c r="O134" s="75"/>
      <c r="P134" s="76">
        <f>SUM(S162:S173)</f>
        <v>0</v>
      </c>
      <c r="Q134" s="76">
        <f>SUM(S174:S184)</f>
        <v>0</v>
      </c>
      <c r="R134" s="76">
        <f>SUM(S185:S195)</f>
        <v>0</v>
      </c>
      <c r="S134" s="76">
        <f>SUM(S196:S206)</f>
        <v>0</v>
      </c>
      <c r="T134" s="76">
        <f>SUM(S207:S217)</f>
        <v>0</v>
      </c>
      <c r="U134" s="76">
        <f>SUM(S218:S228)</f>
        <v>0</v>
      </c>
      <c r="V134" s="77">
        <f t="shared" ref="V134:V141" si="23">P134+Q134+R134+S134+T134+U134</f>
        <v>0</v>
      </c>
      <c r="X134" s="37"/>
    </row>
    <row r="135" spans="1:24" ht="16.95" customHeight="1" thickBot="1">
      <c r="A135" s="78"/>
      <c r="B135" s="78"/>
      <c r="C135" s="78"/>
      <c r="D135" s="79" t="s">
        <v>57</v>
      </c>
      <c r="E135" s="79" t="s">
        <v>58</v>
      </c>
      <c r="F135" s="79" t="s">
        <v>57</v>
      </c>
      <c r="G135" s="79"/>
      <c r="H135" s="79" t="s">
        <v>57</v>
      </c>
      <c r="I135" s="79"/>
      <c r="J135" s="79" t="s">
        <v>59</v>
      </c>
      <c r="K135" s="79" t="s">
        <v>59</v>
      </c>
      <c r="L135" s="81" t="s">
        <v>60</v>
      </c>
      <c r="N135" s="82" t="s">
        <v>61</v>
      </c>
      <c r="O135" s="82"/>
      <c r="P135" s="76">
        <f>SUM(T161:T172)</f>
        <v>0</v>
      </c>
      <c r="Q135" s="76">
        <f>SUM(T173:T183)</f>
        <v>0</v>
      </c>
      <c r="R135" s="76">
        <f>SUM(T184:T194)</f>
        <v>0</v>
      </c>
      <c r="S135" s="76">
        <f>SUM(T195:T205)</f>
        <v>0</v>
      </c>
      <c r="T135" s="76">
        <f>SUM(T206:T216)</f>
        <v>0</v>
      </c>
      <c r="U135" s="76">
        <f>SUM(T217:T227)</f>
        <v>0</v>
      </c>
      <c r="V135" s="77">
        <f t="shared" si="23"/>
        <v>0</v>
      </c>
    </row>
    <row r="136" spans="1:24" ht="17.25" customHeight="1">
      <c r="A136" s="61">
        <f>A152</f>
        <v>0</v>
      </c>
      <c r="B136" s="83"/>
      <c r="C136" s="83"/>
      <c r="D136" s="84">
        <f>(C136-B136+(C136&lt;B136))*24*60</f>
        <v>0</v>
      </c>
      <c r="E136" s="85"/>
      <c r="F136" s="86">
        <f>IF(E136=0,0,(F152/J118*60))</f>
        <v>0</v>
      </c>
      <c r="G136" s="87">
        <f>IF($K136=0,0,(K136*100)/(D136*$J$3/60))</f>
        <v>0</v>
      </c>
      <c r="H136" s="86">
        <f>P134+P141</f>
        <v>0</v>
      </c>
      <c r="I136" s="87">
        <f>D136-F136-P142</f>
        <v>0</v>
      </c>
      <c r="J136" s="84">
        <f>(D136-H136)/60*E136</f>
        <v>0</v>
      </c>
      <c r="K136" s="279">
        <f>F152</f>
        <v>0</v>
      </c>
      <c r="L136" s="89">
        <f>IF($K136=0,0,K136/J136)</f>
        <v>0</v>
      </c>
      <c r="N136" s="82" t="s">
        <v>62</v>
      </c>
      <c r="O136" s="82"/>
      <c r="P136" s="76">
        <f>SUM(U161:U172)</f>
        <v>0</v>
      </c>
      <c r="Q136" s="76">
        <f>SUM(U173:U183)</f>
        <v>0</v>
      </c>
      <c r="R136" s="76">
        <f>SUM(U184:U194)</f>
        <v>0</v>
      </c>
      <c r="S136" s="76">
        <f>SUM(U195:U205)</f>
        <v>0</v>
      </c>
      <c r="T136" s="76">
        <f>SUM(U206:U216)</f>
        <v>0</v>
      </c>
      <c r="U136" s="76">
        <f>SUM(U217:U227)</f>
        <v>0</v>
      </c>
      <c r="V136" s="77">
        <f t="shared" si="23"/>
        <v>0</v>
      </c>
      <c r="W136" s="53"/>
    </row>
    <row r="137" spans="1:24" ht="17.25" customHeight="1" thickBot="1">
      <c r="A137" s="78"/>
      <c r="B137" s="90"/>
      <c r="C137" s="90"/>
      <c r="D137" s="91"/>
      <c r="E137" s="92"/>
      <c r="F137" s="93"/>
      <c r="G137" s="94"/>
      <c r="H137" s="93"/>
      <c r="I137" s="94"/>
      <c r="J137" s="91"/>
      <c r="K137" s="95"/>
      <c r="L137" s="145">
        <f>K136-J136</f>
        <v>0</v>
      </c>
      <c r="N137" s="82" t="s">
        <v>63</v>
      </c>
      <c r="O137" s="82"/>
      <c r="P137" s="76">
        <f>SUM(V161:V172)</f>
        <v>0</v>
      </c>
      <c r="Q137" s="76">
        <f>SUM(V173:V183)</f>
        <v>0</v>
      </c>
      <c r="R137" s="76">
        <f>SUM(V184:V194)</f>
        <v>0</v>
      </c>
      <c r="S137" s="76">
        <f>SUM(V195:V205)</f>
        <v>0</v>
      </c>
      <c r="T137" s="76">
        <f>SUM(V206:V216)</f>
        <v>0</v>
      </c>
      <c r="U137" s="76">
        <f>SUM(V217:V227)</f>
        <v>0</v>
      </c>
      <c r="V137" s="77">
        <f t="shared" si="23"/>
        <v>0</v>
      </c>
      <c r="W137" s="53"/>
    </row>
    <row r="138" spans="1:24" ht="17.25" customHeight="1">
      <c r="A138" s="61">
        <f>A153</f>
        <v>0</v>
      </c>
      <c r="B138" s="83"/>
      <c r="C138" s="83"/>
      <c r="D138" s="84">
        <f>(C138-B138+(C138&lt;B138))*24*60</f>
        <v>0</v>
      </c>
      <c r="E138" s="85"/>
      <c r="F138" s="86">
        <f>IF(E138=0,0,(F153/J118*60))</f>
        <v>0</v>
      </c>
      <c r="G138" s="87">
        <f>IF($K138=0,0,(K138*100)/(D138*$J$3/60))</f>
        <v>0</v>
      </c>
      <c r="H138" s="86">
        <f>Q134+Q141</f>
        <v>0</v>
      </c>
      <c r="I138" s="87">
        <f>D138-F138-Q142</f>
        <v>0</v>
      </c>
      <c r="J138" s="84">
        <f>(D138-H138)/60*E138</f>
        <v>0</v>
      </c>
      <c r="K138" s="279">
        <f>F153</f>
        <v>0</v>
      </c>
      <c r="L138" s="97">
        <f>IF($K138=0,0,K138/J138)</f>
        <v>0</v>
      </c>
      <c r="N138" s="82" t="s">
        <v>64</v>
      </c>
      <c r="O138" s="82"/>
      <c r="P138" s="76">
        <f>SUM(W161:W172)</f>
        <v>0</v>
      </c>
      <c r="Q138" s="76">
        <f>SUM(W173:W183)</f>
        <v>0</v>
      </c>
      <c r="R138" s="76">
        <f>SUM(W184:W194)</f>
        <v>0</v>
      </c>
      <c r="S138" s="76">
        <f>SUM(W195:W205)</f>
        <v>0</v>
      </c>
      <c r="T138" s="76">
        <f>SUM(W206:W216)</f>
        <v>0</v>
      </c>
      <c r="U138" s="76">
        <f>SUM(W217:W227)</f>
        <v>0</v>
      </c>
      <c r="V138" s="77">
        <f t="shared" si="23"/>
        <v>0</v>
      </c>
      <c r="W138" s="53"/>
    </row>
    <row r="139" spans="1:24" ht="16.95" customHeight="1" thickBot="1">
      <c r="A139" s="78"/>
      <c r="B139" s="90"/>
      <c r="C139" s="90"/>
      <c r="D139" s="91"/>
      <c r="E139" s="92"/>
      <c r="F139" s="93"/>
      <c r="G139" s="94"/>
      <c r="H139" s="93"/>
      <c r="I139" s="94"/>
      <c r="J139" s="91"/>
      <c r="K139" s="280"/>
      <c r="L139" s="96">
        <f>K138-J138</f>
        <v>0</v>
      </c>
      <c r="N139" s="98" t="s">
        <v>65</v>
      </c>
      <c r="O139" s="98"/>
      <c r="P139" s="76">
        <f>SUM(X161:X172)</f>
        <v>0</v>
      </c>
      <c r="Q139" s="76">
        <f>SUM(X173:X183)</f>
        <v>0</v>
      </c>
      <c r="R139" s="76">
        <f>SUM(X184:X194)</f>
        <v>0</v>
      </c>
      <c r="S139" s="76">
        <f>SUM(X195:X205)</f>
        <v>0</v>
      </c>
      <c r="T139" s="76">
        <f>SUM(X206:X216)</f>
        <v>0</v>
      </c>
      <c r="U139" s="76">
        <f>SUM(X217:X227)</f>
        <v>0</v>
      </c>
      <c r="V139" s="77">
        <f t="shared" si="23"/>
        <v>0</v>
      </c>
      <c r="W139" s="53"/>
    </row>
    <row r="140" spans="1:24" ht="16.95" customHeight="1" collapsed="1">
      <c r="A140" s="61">
        <f>A154</f>
        <v>0</v>
      </c>
      <c r="B140" s="83"/>
      <c r="C140" s="83"/>
      <c r="D140" s="84">
        <f>(C140-B140+(C140&lt;B140))*24*60</f>
        <v>0</v>
      </c>
      <c r="E140" s="85"/>
      <c r="F140" s="86">
        <f>IF(E140=0,0,(F154/J118*60))</f>
        <v>0</v>
      </c>
      <c r="G140" s="87">
        <f>IF($K140=0,0,(K140*100)/(D140*$J$3/60))</f>
        <v>0</v>
      </c>
      <c r="H140" s="86">
        <f>R134+R141</f>
        <v>0</v>
      </c>
      <c r="I140" s="87">
        <f>D140-F140-R142</f>
        <v>0</v>
      </c>
      <c r="J140" s="84">
        <f>(D140-H140)/60*E140</f>
        <v>0</v>
      </c>
      <c r="K140" s="279">
        <f>F154</f>
        <v>0</v>
      </c>
      <c r="L140" s="89">
        <f>IF($K140=0,0,K140/J140)</f>
        <v>0</v>
      </c>
      <c r="N140" s="98" t="s">
        <v>66</v>
      </c>
      <c r="O140" s="98"/>
      <c r="P140" s="76">
        <f>SUM(Y161:Y172)</f>
        <v>0</v>
      </c>
      <c r="Q140" s="76">
        <f>SUM(Y173:Y183)</f>
        <v>0</v>
      </c>
      <c r="R140" s="76">
        <f>SUM(Y184:Y194)</f>
        <v>0</v>
      </c>
      <c r="S140" s="76">
        <f>SUM(Y195:Y205)</f>
        <v>0</v>
      </c>
      <c r="T140" s="76">
        <f>SUM(Y206:Y216)</f>
        <v>0</v>
      </c>
      <c r="U140" s="76">
        <f>SUM(Y217:Y227)</f>
        <v>0</v>
      </c>
      <c r="V140" s="77">
        <f t="shared" si="23"/>
        <v>0</v>
      </c>
      <c r="W140" s="53"/>
      <c r="X140" s="53"/>
    </row>
    <row r="141" spans="1:24" ht="16.95" customHeight="1" thickBot="1">
      <c r="A141" s="78"/>
      <c r="B141" s="90"/>
      <c r="C141" s="90"/>
      <c r="D141" s="91"/>
      <c r="E141" s="92"/>
      <c r="F141" s="93"/>
      <c r="G141" s="94"/>
      <c r="H141" s="93"/>
      <c r="I141" s="94"/>
      <c r="J141" s="91"/>
      <c r="K141" s="280"/>
      <c r="L141" s="96">
        <f>K140-J140</f>
        <v>0</v>
      </c>
      <c r="N141" s="99" t="s">
        <v>67</v>
      </c>
      <c r="O141" s="99"/>
      <c r="P141" s="76">
        <f>SUM(Z161:Z172)</f>
        <v>0</v>
      </c>
      <c r="Q141" s="76">
        <f>SUM(Z173:Z183)</f>
        <v>0</v>
      </c>
      <c r="R141" s="76">
        <f>SUM(Z184:Z194)</f>
        <v>0</v>
      </c>
      <c r="S141" s="76">
        <f>SUM(Z195:Z205)</f>
        <v>0</v>
      </c>
      <c r="T141" s="76">
        <f>SUM(Z206:Z216)</f>
        <v>0</v>
      </c>
      <c r="U141" s="76">
        <f>SUM(Z217:Z227)</f>
        <v>0</v>
      </c>
      <c r="V141" s="77">
        <f t="shared" si="23"/>
        <v>0</v>
      </c>
      <c r="W141" s="53"/>
      <c r="X141" s="53"/>
    </row>
    <row r="142" spans="1:24" ht="16.95" customHeight="1" collapsed="1">
      <c r="A142" s="66">
        <f>A155</f>
        <v>0</v>
      </c>
      <c r="B142" s="100"/>
      <c r="C142" s="100"/>
      <c r="D142" s="101">
        <f>(C142-B142+(C142&lt;B142))*24*60</f>
        <v>0</v>
      </c>
      <c r="E142" s="102"/>
      <c r="F142" s="103">
        <f>IF(E142=0,0,(F155/J118*60))</f>
        <v>0</v>
      </c>
      <c r="G142" s="87">
        <f>IF($K142=0,0,(K142*100)/(D142*$J$3/60))</f>
        <v>0</v>
      </c>
      <c r="H142" s="103">
        <f>S134+S141</f>
        <v>0</v>
      </c>
      <c r="I142" s="104">
        <f>D142-F142-S142</f>
        <v>0</v>
      </c>
      <c r="J142" s="101">
        <f>(D142-H142)/60*E142</f>
        <v>0</v>
      </c>
      <c r="K142" s="279">
        <f>F155</f>
        <v>0</v>
      </c>
      <c r="L142" s="89">
        <f>IF($K142=0,0,K142/J142)</f>
        <v>0</v>
      </c>
      <c r="N142" s="105" t="s">
        <v>68</v>
      </c>
      <c r="O142" s="105"/>
      <c r="P142" s="77">
        <f t="shared" ref="P142:U142" si="24">SUM(P133:P141)</f>
        <v>0</v>
      </c>
      <c r="Q142" s="77">
        <f t="shared" si="24"/>
        <v>0</v>
      </c>
      <c r="R142" s="77">
        <f t="shared" si="24"/>
        <v>0</v>
      </c>
      <c r="S142" s="77">
        <f t="shared" si="24"/>
        <v>0</v>
      </c>
      <c r="T142" s="77">
        <f t="shared" si="24"/>
        <v>0</v>
      </c>
      <c r="U142" s="77">
        <f t="shared" si="24"/>
        <v>0</v>
      </c>
      <c r="V142" s="77">
        <f>P142+Q142+R142+S142+T142+U142</f>
        <v>0</v>
      </c>
      <c r="W142" s="53"/>
      <c r="X142" s="53"/>
    </row>
    <row r="143" spans="1:24" ht="16.95" customHeight="1" thickBot="1">
      <c r="A143" s="78"/>
      <c r="B143" s="90"/>
      <c r="C143" s="90"/>
      <c r="D143" s="91"/>
      <c r="E143" s="92"/>
      <c r="F143" s="93"/>
      <c r="G143" s="94"/>
      <c r="H143" s="93"/>
      <c r="I143" s="94"/>
      <c r="J143" s="91"/>
      <c r="K143" s="280"/>
      <c r="L143" s="96">
        <f>K142-J142</f>
        <v>0</v>
      </c>
      <c r="N143" s="105"/>
      <c r="O143" s="105"/>
      <c r="P143" s="77"/>
      <c r="Q143" s="77"/>
      <c r="R143" s="77"/>
      <c r="S143" s="77"/>
      <c r="T143" s="77"/>
      <c r="U143" s="77"/>
      <c r="V143" s="77"/>
      <c r="W143" s="53"/>
      <c r="X143" s="53"/>
    </row>
    <row r="144" spans="1:24" ht="16.95" customHeight="1">
      <c r="A144" s="61">
        <f>A156</f>
        <v>0</v>
      </c>
      <c r="B144" s="83"/>
      <c r="C144" s="83"/>
      <c r="D144" s="84">
        <f>(C144-B144+(C144&lt;B144))*24*60</f>
        <v>0</v>
      </c>
      <c r="E144" s="85"/>
      <c r="F144" s="86">
        <f>IF(E144=0,0,(F156/J118*60))</f>
        <v>0</v>
      </c>
      <c r="G144" s="87">
        <f>IF($K144=0,0,(K144*100)/(D144*$J$3/60))</f>
        <v>0</v>
      </c>
      <c r="H144" s="86">
        <f>T134+T141</f>
        <v>0</v>
      </c>
      <c r="I144" s="87">
        <f>D144-F144-T142</f>
        <v>0</v>
      </c>
      <c r="J144" s="84">
        <f>(D144-H144)/60*E144</f>
        <v>0</v>
      </c>
      <c r="K144" s="279">
        <f>F156</f>
        <v>0</v>
      </c>
      <c r="L144" s="89">
        <f>IF($K144=0,0,K144/J144)</f>
        <v>0</v>
      </c>
      <c r="V144" s="53"/>
      <c r="W144" s="53"/>
      <c r="X144" s="53"/>
    </row>
    <row r="145" spans="1:27" ht="16.95" customHeight="1" thickBot="1">
      <c r="A145" s="78"/>
      <c r="B145" s="90"/>
      <c r="C145" s="90"/>
      <c r="D145" s="91"/>
      <c r="E145" s="92"/>
      <c r="F145" s="93"/>
      <c r="G145" s="94"/>
      <c r="H145" s="93"/>
      <c r="I145" s="94"/>
      <c r="J145" s="91"/>
      <c r="K145" s="280"/>
      <c r="L145" s="96">
        <f>K144-J144</f>
        <v>0</v>
      </c>
      <c r="V145" s="53"/>
      <c r="W145" s="53"/>
      <c r="X145" s="53"/>
    </row>
    <row r="146" spans="1:27" ht="16.95" customHeight="1">
      <c r="A146" s="61">
        <f>A157</f>
        <v>0</v>
      </c>
      <c r="B146" s="83"/>
      <c r="C146" s="83"/>
      <c r="D146" s="84">
        <f>(C146-B146+(C146&lt;B146))*24*60</f>
        <v>0</v>
      </c>
      <c r="E146" s="85"/>
      <c r="F146" s="86">
        <f>IF(E146=0,0,(F157/J118*60))</f>
        <v>0</v>
      </c>
      <c r="G146" s="87">
        <f>IF($K146=0,0,(K146*100)/(D146*$J$3/60))</f>
        <v>0</v>
      </c>
      <c r="H146" s="86">
        <f>U134+U141</f>
        <v>0</v>
      </c>
      <c r="I146" s="87">
        <f>D146-F146-U142</f>
        <v>0</v>
      </c>
      <c r="J146" s="84">
        <f>(D146-H146)/60*E146</f>
        <v>0</v>
      </c>
      <c r="K146" s="279">
        <f>F157</f>
        <v>0</v>
      </c>
      <c r="L146" s="89">
        <f>IF($K146=0,0,K146/J146)</f>
        <v>0</v>
      </c>
      <c r="V146" s="53"/>
      <c r="W146" s="53"/>
      <c r="X146" s="53"/>
    </row>
    <row r="147" spans="1:27" ht="16.95" customHeight="1" thickBot="1">
      <c r="A147" s="78"/>
      <c r="B147" s="90"/>
      <c r="C147" s="90"/>
      <c r="D147" s="91"/>
      <c r="E147" s="92"/>
      <c r="F147" s="93"/>
      <c r="G147" s="94"/>
      <c r="H147" s="93"/>
      <c r="I147" s="94"/>
      <c r="J147" s="101"/>
      <c r="K147" s="281"/>
      <c r="L147" s="107">
        <f>K146-J146</f>
        <v>0</v>
      </c>
      <c r="V147" s="53"/>
      <c r="W147" s="53"/>
      <c r="X147" s="53"/>
    </row>
    <row r="148" spans="1:27" s="113" customFormat="1" ht="17.25" customHeight="1">
      <c r="A148" s="108" t="s">
        <v>69</v>
      </c>
      <c r="B148" s="108"/>
      <c r="C148" s="108"/>
      <c r="D148" s="108"/>
      <c r="E148" s="108"/>
      <c r="F148" s="108"/>
      <c r="G148" s="108"/>
      <c r="H148" s="108"/>
      <c r="I148" s="109"/>
      <c r="J148" s="110" t="s">
        <v>70</v>
      </c>
      <c r="K148" s="111" t="s">
        <v>71</v>
      </c>
      <c r="L148" s="112">
        <f>IF($K149=0,0,K149/J149)</f>
        <v>0</v>
      </c>
      <c r="N148" s="3"/>
      <c r="O148" s="3"/>
      <c r="P148" s="3"/>
      <c r="Q148" s="3"/>
      <c r="R148" s="3"/>
      <c r="S148" s="3"/>
      <c r="T148" s="3"/>
      <c r="U148" s="3"/>
      <c r="V148" s="53"/>
      <c r="W148" s="114"/>
      <c r="X148" s="114"/>
    </row>
    <row r="149" spans="1:27" ht="17.25" customHeight="1" thickBot="1">
      <c r="A149" s="115"/>
      <c r="B149" s="115"/>
      <c r="C149" s="115"/>
      <c r="D149" s="115"/>
      <c r="E149" s="115"/>
      <c r="F149" s="115"/>
      <c r="G149" s="115"/>
      <c r="H149" s="115"/>
      <c r="I149" s="116"/>
      <c r="J149" s="117">
        <f>J136+J138+J140+J142+J144+J146</f>
        <v>0</v>
      </c>
      <c r="K149" s="111">
        <f>K136+K138+K140+K142+K144+K146</f>
        <v>0</v>
      </c>
      <c r="L149" s="118"/>
      <c r="M149" s="53"/>
      <c r="V149" s="53"/>
      <c r="W149" s="53"/>
      <c r="X149" s="53"/>
    </row>
    <row r="150" spans="1:27" ht="17.25" customHeight="1">
      <c r="A150" s="119" t="s">
        <v>72</v>
      </c>
      <c r="B150" s="120"/>
      <c r="C150" s="120"/>
      <c r="D150" s="120"/>
      <c r="E150" s="121"/>
      <c r="F150" s="61" t="s">
        <v>73</v>
      </c>
      <c r="G150" s="61" t="s">
        <v>74</v>
      </c>
      <c r="H150" s="122"/>
      <c r="I150" s="123"/>
      <c r="J150" s="124"/>
      <c r="K150" s="125"/>
      <c r="L150" s="126" t="s">
        <v>75</v>
      </c>
      <c r="M150" s="127"/>
      <c r="V150" s="53"/>
      <c r="W150" s="128"/>
      <c r="X150" s="128"/>
    </row>
    <row r="151" spans="1:27" ht="17.25" customHeight="1" thickBot="1">
      <c r="A151" s="129"/>
      <c r="B151" s="130"/>
      <c r="C151" s="130"/>
      <c r="D151" s="130"/>
      <c r="E151" s="131"/>
      <c r="F151" s="73"/>
      <c r="G151" s="73"/>
      <c r="H151" s="132"/>
      <c r="I151" s="133"/>
      <c r="J151" s="134"/>
      <c r="K151" s="135"/>
      <c r="L151" s="136"/>
      <c r="M151" s="127"/>
      <c r="V151" s="53"/>
      <c r="W151" s="128"/>
      <c r="X151" s="128"/>
    </row>
    <row r="152" spans="1:27" ht="15.6" thickBot="1">
      <c r="A152" s="282"/>
      <c r="B152" s="283"/>
      <c r="C152" s="283"/>
      <c r="D152" s="283"/>
      <c r="E152" s="284"/>
      <c r="F152" s="140"/>
      <c r="G152" s="141"/>
      <c r="H152" s="142"/>
      <c r="I152" s="143"/>
      <c r="J152" s="144"/>
      <c r="K152" s="145">
        <f>G152</f>
        <v>0</v>
      </c>
      <c r="L152" s="146"/>
      <c r="M152" s="147"/>
      <c r="V152" s="53"/>
      <c r="W152" s="53"/>
      <c r="X152" s="53"/>
    </row>
    <row r="153" spans="1:27" ht="13.5" customHeight="1" thickBot="1">
      <c r="A153" s="137"/>
      <c r="B153" s="138"/>
      <c r="C153" s="138"/>
      <c r="D153" s="138"/>
      <c r="E153" s="139"/>
      <c r="F153" s="140"/>
      <c r="G153" s="285"/>
      <c r="H153" s="149"/>
      <c r="I153" s="150"/>
      <c r="J153" s="151"/>
      <c r="K153" s="145">
        <f t="shared" ref="K153:K157" si="25">G153</f>
        <v>0</v>
      </c>
      <c r="L153" s="152"/>
      <c r="M153" s="147"/>
      <c r="V153" s="53"/>
      <c r="W153" s="53"/>
      <c r="X153" s="53"/>
    </row>
    <row r="154" spans="1:27" ht="13.5" customHeight="1" thickBot="1">
      <c r="A154" s="137"/>
      <c r="B154" s="138"/>
      <c r="C154" s="138"/>
      <c r="D154" s="138"/>
      <c r="E154" s="139"/>
      <c r="F154" s="140"/>
      <c r="G154" s="285"/>
      <c r="H154" s="149"/>
      <c r="I154" s="150"/>
      <c r="J154" s="151"/>
      <c r="K154" s="145">
        <f t="shared" si="25"/>
        <v>0</v>
      </c>
      <c r="L154" s="152"/>
      <c r="M154" s="147"/>
      <c r="V154" s="53"/>
      <c r="W154" s="53"/>
      <c r="X154" s="53"/>
    </row>
    <row r="155" spans="1:27" ht="13.5" customHeight="1" thickBot="1">
      <c r="A155" s="137"/>
      <c r="B155" s="138"/>
      <c r="C155" s="138"/>
      <c r="D155" s="138"/>
      <c r="E155" s="139"/>
      <c r="F155" s="140"/>
      <c r="G155" s="285"/>
      <c r="H155" s="149"/>
      <c r="I155" s="150"/>
      <c r="J155" s="151"/>
      <c r="K155" s="145">
        <f t="shared" si="25"/>
        <v>0</v>
      </c>
      <c r="L155" s="152"/>
      <c r="M155" s="147"/>
      <c r="V155" s="53"/>
      <c r="W155" s="53"/>
      <c r="X155" s="53"/>
    </row>
    <row r="156" spans="1:27" ht="13.5" customHeight="1" thickBot="1">
      <c r="A156" s="137"/>
      <c r="B156" s="138"/>
      <c r="C156" s="138"/>
      <c r="D156" s="138"/>
      <c r="E156" s="139"/>
      <c r="F156" s="140"/>
      <c r="G156" s="285"/>
      <c r="H156" s="149"/>
      <c r="I156" s="150"/>
      <c r="J156" s="151"/>
      <c r="K156" s="145">
        <f t="shared" si="25"/>
        <v>0</v>
      </c>
      <c r="L156" s="152"/>
      <c r="M156" s="147"/>
      <c r="V156" s="53"/>
      <c r="W156" s="53"/>
      <c r="X156" s="53"/>
    </row>
    <row r="157" spans="1:27" ht="13.5" customHeight="1" thickBot="1">
      <c r="A157" s="153"/>
      <c r="B157" s="154"/>
      <c r="C157" s="154"/>
      <c r="D157" s="154"/>
      <c r="E157" s="155"/>
      <c r="F157" s="140"/>
      <c r="G157" s="285"/>
      <c r="H157" s="149"/>
      <c r="I157" s="150"/>
      <c r="J157" s="151"/>
      <c r="K157" s="145">
        <f t="shared" si="25"/>
        <v>0</v>
      </c>
      <c r="L157" s="152"/>
      <c r="M157" s="147"/>
      <c r="V157" s="53"/>
      <c r="W157" s="53"/>
      <c r="X157" s="53"/>
    </row>
    <row r="158" spans="1:27" ht="13.8" thickBot="1">
      <c r="A158" s="156" t="s">
        <v>77</v>
      </c>
      <c r="B158" s="157"/>
      <c r="C158" s="157"/>
      <c r="D158" s="157"/>
      <c r="E158" s="157"/>
      <c r="F158" s="158"/>
      <c r="G158" s="158"/>
      <c r="H158" s="158"/>
      <c r="I158" s="158"/>
      <c r="J158" s="159"/>
      <c r="K158" s="160">
        <f>SUM(K152:K157)</f>
        <v>0</v>
      </c>
      <c r="L158" s="160">
        <f>SUM(L153+L153)</f>
        <v>0</v>
      </c>
      <c r="M158" s="161"/>
      <c r="V158" s="53"/>
    </row>
    <row r="159" spans="1:27" ht="12.75" customHeight="1" thickBot="1"/>
    <row r="160" spans="1:27" ht="12.75" customHeight="1" thickBot="1">
      <c r="A160" s="162" t="s">
        <v>72</v>
      </c>
      <c r="B160" s="162" t="s">
        <v>78</v>
      </c>
      <c r="C160" s="163"/>
      <c r="D160" s="164" t="s">
        <v>79</v>
      </c>
      <c r="E160" s="163" t="s">
        <v>80</v>
      </c>
      <c r="F160" s="165" t="s">
        <v>81</v>
      </c>
      <c r="G160" s="166"/>
      <c r="H160" s="164" t="s">
        <v>82</v>
      </c>
      <c r="I160" s="167" t="s">
        <v>83</v>
      </c>
      <c r="J160" s="168"/>
      <c r="K160" s="164" t="s">
        <v>84</v>
      </c>
      <c r="L160" s="162" t="s">
        <v>85</v>
      </c>
      <c r="M160" s="165"/>
      <c r="N160" s="166"/>
      <c r="O160" s="164" t="s">
        <v>86</v>
      </c>
      <c r="P160" s="164" t="s">
        <v>87</v>
      </c>
      <c r="Q160" s="164" t="s">
        <v>88</v>
      </c>
      <c r="S160" s="169" t="s">
        <v>89</v>
      </c>
      <c r="T160" s="170"/>
      <c r="U160" s="170"/>
      <c r="V160" s="170"/>
      <c r="W160" s="170"/>
      <c r="X160" s="170"/>
      <c r="Y160" s="170"/>
      <c r="Z160" s="170"/>
      <c r="AA160" s="171"/>
    </row>
    <row r="161" spans="1:28" s="23" customFormat="1" ht="25.5" customHeight="1" thickBot="1">
      <c r="A161" s="172"/>
      <c r="B161" s="172"/>
      <c r="C161" s="173"/>
      <c r="D161" s="174"/>
      <c r="E161" s="175"/>
      <c r="F161" s="176"/>
      <c r="G161" s="177"/>
      <c r="H161" s="178"/>
      <c r="I161" s="179" t="s">
        <v>90</v>
      </c>
      <c r="J161" s="180" t="s">
        <v>91</v>
      </c>
      <c r="K161" s="174"/>
      <c r="L161" s="172"/>
      <c r="M161" s="181"/>
      <c r="N161" s="182"/>
      <c r="O161" s="174"/>
      <c r="P161" s="174"/>
      <c r="Q161" s="174"/>
      <c r="R161" s="3"/>
      <c r="S161" s="183" t="s">
        <v>92</v>
      </c>
      <c r="T161" s="183" t="s">
        <v>61</v>
      </c>
      <c r="U161" s="183" t="s">
        <v>62</v>
      </c>
      <c r="V161" s="183" t="s">
        <v>63</v>
      </c>
      <c r="W161" s="183" t="s">
        <v>64</v>
      </c>
      <c r="X161" s="183" t="s">
        <v>65</v>
      </c>
      <c r="Y161" s="183" t="s">
        <v>66</v>
      </c>
      <c r="Z161" s="183" t="s">
        <v>67</v>
      </c>
    </row>
    <row r="162" spans="1:28" s="199" customFormat="1" ht="29.25" customHeight="1">
      <c r="A162" s="184">
        <f>A152</f>
        <v>0</v>
      </c>
      <c r="B162" s="185">
        <f>B136</f>
        <v>0</v>
      </c>
      <c r="C162" s="185">
        <f>B162+1/24</f>
        <v>4.1666666666666664E-2</v>
      </c>
      <c r="D162" s="186"/>
      <c r="E162" s="187"/>
      <c r="F162" s="188"/>
      <c r="G162" s="189"/>
      <c r="H162" s="190"/>
      <c r="I162" s="191"/>
      <c r="J162" s="191"/>
      <c r="K162" s="192">
        <f>(J162-I162+(J162&lt;I162))*24*60</f>
        <v>0</v>
      </c>
      <c r="L162" s="193"/>
      <c r="M162" s="194"/>
      <c r="N162" s="195"/>
      <c r="O162" s="196" t="str">
        <f t="shared" ref="O162:O206" si="26">IF(H162=$V$5,$F$122,"")</f>
        <v/>
      </c>
      <c r="P162" s="187"/>
      <c r="Q162" s="197"/>
      <c r="R162" s="3"/>
      <c r="S162" s="198">
        <f>IF($H162="ПЛАНОВЫЕ",$K162,0)</f>
        <v>0</v>
      </c>
      <c r="T162" s="198">
        <f>IF($H162="ПРОИЗВОДСТВЕННЫЕ",$K162,0)</f>
        <v>0</v>
      </c>
      <c r="U162" s="198">
        <f>IF($H162="ТЕХНИЧЕСКИЕ",$K162,0)</f>
        <v>0</v>
      </c>
      <c r="V162" s="198">
        <f>IF($H162="ТЕХНОЛОГИЧЕСКИЕ",$K162,0)</f>
        <v>0</v>
      </c>
      <c r="W162" s="198">
        <f>IF($H162="ЛАБОРАТОРНЫЕ",$K162,0)</f>
        <v>0</v>
      </c>
      <c r="X162" s="198">
        <f>IF($H162="СЫРЬЕВЫЕ",$K162,0)</f>
        <v>0</v>
      </c>
      <c r="Y162" s="198">
        <f>IF($H162="ЛОГИСТИЧЕСКИЕ",$K162,0)</f>
        <v>0</v>
      </c>
      <c r="Z162" s="198">
        <f>IF($H162="ОБЩЕЗАВОДСКИЕ",$K162,0)</f>
        <v>0</v>
      </c>
      <c r="AB162" s="200"/>
    </row>
    <row r="163" spans="1:28" s="199" customFormat="1" ht="29.25" customHeight="1">
      <c r="A163" s="201"/>
      <c r="B163" s="202">
        <f>C162</f>
        <v>4.1666666666666664E-2</v>
      </c>
      <c r="C163" s="202">
        <f>B163+1/24</f>
        <v>8.3333333333333329E-2</v>
      </c>
      <c r="D163" s="203"/>
      <c r="E163" s="204"/>
      <c r="F163" s="205"/>
      <c r="G163" s="206"/>
      <c r="H163" s="214"/>
      <c r="I163" s="207"/>
      <c r="J163" s="207"/>
      <c r="K163" s="208">
        <f t="shared" ref="K163:K226" si="27">(J163-I163+(J163&lt;I163))*24*60</f>
        <v>0</v>
      </c>
      <c r="L163" s="209"/>
      <c r="M163" s="210"/>
      <c r="N163" s="211"/>
      <c r="O163" s="212" t="str">
        <f t="shared" si="26"/>
        <v/>
      </c>
      <c r="P163" s="204"/>
      <c r="Q163" s="213"/>
      <c r="R163" s="3"/>
      <c r="S163" s="198">
        <f t="shared" ref="S163:S226" si="28">IF($H163="ПЛАНОВЫЕ",$K163,0)</f>
        <v>0</v>
      </c>
      <c r="T163" s="198">
        <f t="shared" ref="T163:T226" si="29">IF($H163="ПРОИЗВОДСТВЕННЫЕ",$K163,0)</f>
        <v>0</v>
      </c>
      <c r="U163" s="198">
        <f t="shared" ref="U163:U226" si="30">IF($H163="ТЕХНИЧЕСКИЕ",$K163,0)</f>
        <v>0</v>
      </c>
      <c r="V163" s="198">
        <f t="shared" ref="V163:V226" si="31">IF($H163="ТЕХНОЛОГИЧЕСКИЕ",$K163,0)</f>
        <v>0</v>
      </c>
      <c r="W163" s="198">
        <f t="shared" ref="W163:W226" si="32">IF($H163="ЛАБОРАТОРНЫЕ",$K163,0)</f>
        <v>0</v>
      </c>
      <c r="X163" s="198">
        <f t="shared" ref="X163:X226" si="33">IF($H163="СЫРЬЕВЫЕ",$K163,0)</f>
        <v>0</v>
      </c>
      <c r="Y163" s="198">
        <f t="shared" ref="Y163:Y226" si="34">IF($H163="ЛОГИСТИЧЕСКИЕ",$K163,0)</f>
        <v>0</v>
      </c>
      <c r="Z163" s="198">
        <f t="shared" ref="Z163:Z226" si="35">IF($H163="ОБЩЕЗАВОДСКИЕ",$K163,0)</f>
        <v>0</v>
      </c>
      <c r="AB163" s="200"/>
    </row>
    <row r="164" spans="1:28" s="199" customFormat="1" ht="29.25" customHeight="1">
      <c r="A164" s="201"/>
      <c r="B164" s="202">
        <f t="shared" ref="B164:B173" si="36">C163</f>
        <v>8.3333333333333329E-2</v>
      </c>
      <c r="C164" s="202">
        <f t="shared" ref="C164:C173" si="37">B164+1/24</f>
        <v>0.125</v>
      </c>
      <c r="D164" s="203"/>
      <c r="E164" s="204"/>
      <c r="F164" s="215"/>
      <c r="G164" s="215"/>
      <c r="H164" s="214"/>
      <c r="I164" s="207"/>
      <c r="J164" s="207"/>
      <c r="K164" s="208">
        <f t="shared" si="27"/>
        <v>0</v>
      </c>
      <c r="L164" s="209"/>
      <c r="M164" s="210"/>
      <c r="N164" s="211"/>
      <c r="O164" s="212" t="str">
        <f t="shared" si="26"/>
        <v/>
      </c>
      <c r="P164" s="204"/>
      <c r="Q164" s="213"/>
      <c r="R164" s="3"/>
      <c r="S164" s="198">
        <f t="shared" si="28"/>
        <v>0</v>
      </c>
      <c r="T164" s="198">
        <f t="shared" si="29"/>
        <v>0</v>
      </c>
      <c r="U164" s="198">
        <f t="shared" si="30"/>
        <v>0</v>
      </c>
      <c r="V164" s="198">
        <f t="shared" si="31"/>
        <v>0</v>
      </c>
      <c r="W164" s="198">
        <f t="shared" si="32"/>
        <v>0</v>
      </c>
      <c r="X164" s="198">
        <f t="shared" si="33"/>
        <v>0</v>
      </c>
      <c r="Y164" s="198">
        <f t="shared" si="34"/>
        <v>0</v>
      </c>
      <c r="Z164" s="198">
        <f t="shared" si="35"/>
        <v>0</v>
      </c>
      <c r="AB164" s="200"/>
    </row>
    <row r="165" spans="1:28" s="199" customFormat="1" ht="29.25" customHeight="1">
      <c r="A165" s="201"/>
      <c r="B165" s="202">
        <f t="shared" si="36"/>
        <v>0.125</v>
      </c>
      <c r="C165" s="202">
        <f t="shared" si="37"/>
        <v>0.16666666666666666</v>
      </c>
      <c r="D165" s="203"/>
      <c r="E165" s="204"/>
      <c r="F165" s="215"/>
      <c r="G165" s="215"/>
      <c r="H165" s="214"/>
      <c r="I165" s="207"/>
      <c r="J165" s="207"/>
      <c r="K165" s="208">
        <f t="shared" si="27"/>
        <v>0</v>
      </c>
      <c r="L165" s="209"/>
      <c r="M165" s="210"/>
      <c r="N165" s="211"/>
      <c r="O165" s="212" t="str">
        <f t="shared" si="26"/>
        <v/>
      </c>
      <c r="P165" s="204"/>
      <c r="Q165" s="213"/>
      <c r="R165" s="3"/>
      <c r="S165" s="198">
        <f t="shared" si="28"/>
        <v>0</v>
      </c>
      <c r="T165" s="198">
        <f t="shared" si="29"/>
        <v>0</v>
      </c>
      <c r="U165" s="198">
        <f t="shared" si="30"/>
        <v>0</v>
      </c>
      <c r="V165" s="198">
        <f t="shared" si="31"/>
        <v>0</v>
      </c>
      <c r="W165" s="198">
        <f t="shared" si="32"/>
        <v>0</v>
      </c>
      <c r="X165" s="198">
        <f t="shared" si="33"/>
        <v>0</v>
      </c>
      <c r="Y165" s="198">
        <f t="shared" si="34"/>
        <v>0</v>
      </c>
      <c r="Z165" s="198">
        <f t="shared" si="35"/>
        <v>0</v>
      </c>
      <c r="AB165" s="200"/>
    </row>
    <row r="166" spans="1:28" s="199" customFormat="1" ht="29.25" customHeight="1">
      <c r="A166" s="201"/>
      <c r="B166" s="202">
        <f t="shared" si="36"/>
        <v>0.16666666666666666</v>
      </c>
      <c r="C166" s="202">
        <f t="shared" si="37"/>
        <v>0.20833333333333331</v>
      </c>
      <c r="D166" s="203"/>
      <c r="E166" s="204"/>
      <c r="F166" s="215"/>
      <c r="G166" s="215"/>
      <c r="H166" s="214"/>
      <c r="I166" s="207"/>
      <c r="J166" s="207"/>
      <c r="K166" s="208">
        <f t="shared" si="27"/>
        <v>0</v>
      </c>
      <c r="L166" s="209"/>
      <c r="M166" s="210"/>
      <c r="N166" s="211"/>
      <c r="O166" s="212" t="str">
        <f t="shared" si="26"/>
        <v/>
      </c>
      <c r="P166" s="204"/>
      <c r="Q166" s="213"/>
      <c r="R166" s="3"/>
      <c r="S166" s="198">
        <f t="shared" si="28"/>
        <v>0</v>
      </c>
      <c r="T166" s="198">
        <f t="shared" si="29"/>
        <v>0</v>
      </c>
      <c r="U166" s="198">
        <f t="shared" si="30"/>
        <v>0</v>
      </c>
      <c r="V166" s="198">
        <f t="shared" si="31"/>
        <v>0</v>
      </c>
      <c r="W166" s="198">
        <f t="shared" si="32"/>
        <v>0</v>
      </c>
      <c r="X166" s="198">
        <f t="shared" si="33"/>
        <v>0</v>
      </c>
      <c r="Y166" s="198">
        <f t="shared" si="34"/>
        <v>0</v>
      </c>
      <c r="Z166" s="198">
        <f t="shared" si="35"/>
        <v>0</v>
      </c>
      <c r="AB166" s="200"/>
    </row>
    <row r="167" spans="1:28" s="199" customFormat="1" ht="29.25" customHeight="1">
      <c r="A167" s="201"/>
      <c r="B167" s="202">
        <f t="shared" si="36"/>
        <v>0.20833333333333331</v>
      </c>
      <c r="C167" s="202">
        <f t="shared" si="37"/>
        <v>0.24999999999999997</v>
      </c>
      <c r="D167" s="203"/>
      <c r="E167" s="204"/>
      <c r="F167" s="215"/>
      <c r="G167" s="215"/>
      <c r="H167" s="214"/>
      <c r="I167" s="207"/>
      <c r="J167" s="207"/>
      <c r="K167" s="208">
        <f t="shared" si="27"/>
        <v>0</v>
      </c>
      <c r="L167" s="209"/>
      <c r="M167" s="210"/>
      <c r="N167" s="211"/>
      <c r="O167" s="212" t="str">
        <f t="shared" si="26"/>
        <v/>
      </c>
      <c r="P167" s="204"/>
      <c r="Q167" s="213"/>
      <c r="R167" s="3"/>
      <c r="S167" s="198">
        <f t="shared" si="28"/>
        <v>0</v>
      </c>
      <c r="T167" s="198">
        <f t="shared" si="29"/>
        <v>0</v>
      </c>
      <c r="U167" s="198">
        <f t="shared" si="30"/>
        <v>0</v>
      </c>
      <c r="V167" s="198">
        <f t="shared" si="31"/>
        <v>0</v>
      </c>
      <c r="W167" s="198">
        <f t="shared" si="32"/>
        <v>0</v>
      </c>
      <c r="X167" s="198">
        <f t="shared" si="33"/>
        <v>0</v>
      </c>
      <c r="Y167" s="198">
        <f t="shared" si="34"/>
        <v>0</v>
      </c>
      <c r="Z167" s="198">
        <f t="shared" si="35"/>
        <v>0</v>
      </c>
      <c r="AB167" s="200"/>
    </row>
    <row r="168" spans="1:28" s="199" customFormat="1" ht="29.25" customHeight="1">
      <c r="A168" s="201"/>
      <c r="B168" s="202">
        <f t="shared" si="36"/>
        <v>0.24999999999999997</v>
      </c>
      <c r="C168" s="202">
        <f t="shared" si="37"/>
        <v>0.29166666666666663</v>
      </c>
      <c r="D168" s="203"/>
      <c r="E168" s="216"/>
      <c r="F168" s="215"/>
      <c r="G168" s="215"/>
      <c r="H168" s="214"/>
      <c r="I168" s="207"/>
      <c r="J168" s="207"/>
      <c r="K168" s="208">
        <f t="shared" si="27"/>
        <v>0</v>
      </c>
      <c r="L168" s="209"/>
      <c r="M168" s="210"/>
      <c r="N168" s="211"/>
      <c r="O168" s="212" t="str">
        <f t="shared" si="26"/>
        <v/>
      </c>
      <c r="P168" s="204"/>
      <c r="Q168" s="213"/>
      <c r="R168" s="3"/>
      <c r="S168" s="198">
        <f t="shared" si="28"/>
        <v>0</v>
      </c>
      <c r="T168" s="198">
        <f t="shared" si="29"/>
        <v>0</v>
      </c>
      <c r="U168" s="198">
        <f t="shared" si="30"/>
        <v>0</v>
      </c>
      <c r="V168" s="198">
        <f t="shared" si="31"/>
        <v>0</v>
      </c>
      <c r="W168" s="198">
        <f t="shared" si="32"/>
        <v>0</v>
      </c>
      <c r="X168" s="198">
        <f t="shared" si="33"/>
        <v>0</v>
      </c>
      <c r="Y168" s="198">
        <f t="shared" si="34"/>
        <v>0</v>
      </c>
      <c r="Z168" s="198">
        <f t="shared" si="35"/>
        <v>0</v>
      </c>
      <c r="AB168" s="200"/>
    </row>
    <row r="169" spans="1:28" s="199" customFormat="1" ht="29.25" customHeight="1">
      <c r="A169" s="201"/>
      <c r="B169" s="202">
        <f t="shared" si="36"/>
        <v>0.29166666666666663</v>
      </c>
      <c r="C169" s="202">
        <f t="shared" si="37"/>
        <v>0.33333333333333331</v>
      </c>
      <c r="D169" s="203"/>
      <c r="E169" s="216"/>
      <c r="F169" s="205"/>
      <c r="G169" s="206"/>
      <c r="H169" s="214"/>
      <c r="I169" s="207"/>
      <c r="J169" s="207"/>
      <c r="K169" s="208">
        <f t="shared" si="27"/>
        <v>0</v>
      </c>
      <c r="L169" s="209"/>
      <c r="M169" s="210"/>
      <c r="N169" s="211"/>
      <c r="O169" s="212" t="str">
        <f t="shared" si="26"/>
        <v/>
      </c>
      <c r="P169" s="204"/>
      <c r="Q169" s="213"/>
      <c r="R169" s="3"/>
      <c r="S169" s="198">
        <f t="shared" si="28"/>
        <v>0</v>
      </c>
      <c r="T169" s="198">
        <f t="shared" si="29"/>
        <v>0</v>
      </c>
      <c r="U169" s="198">
        <f t="shared" si="30"/>
        <v>0</v>
      </c>
      <c r="V169" s="198">
        <f t="shared" si="31"/>
        <v>0</v>
      </c>
      <c r="W169" s="198">
        <f t="shared" si="32"/>
        <v>0</v>
      </c>
      <c r="X169" s="198">
        <f t="shared" si="33"/>
        <v>0</v>
      </c>
      <c r="Y169" s="198">
        <f t="shared" si="34"/>
        <v>0</v>
      </c>
      <c r="Z169" s="198">
        <f t="shared" si="35"/>
        <v>0</v>
      </c>
      <c r="AB169" s="200"/>
    </row>
    <row r="170" spans="1:28" s="199" customFormat="1" ht="29.25" customHeight="1">
      <c r="A170" s="201"/>
      <c r="B170" s="202">
        <f t="shared" si="36"/>
        <v>0.33333333333333331</v>
      </c>
      <c r="C170" s="202">
        <f t="shared" si="37"/>
        <v>0.375</v>
      </c>
      <c r="D170" s="203"/>
      <c r="E170" s="216"/>
      <c r="F170" s="205"/>
      <c r="G170" s="206"/>
      <c r="H170" s="214"/>
      <c r="I170" s="207"/>
      <c r="J170" s="207"/>
      <c r="K170" s="208">
        <f t="shared" si="27"/>
        <v>0</v>
      </c>
      <c r="L170" s="209"/>
      <c r="M170" s="210"/>
      <c r="N170" s="211"/>
      <c r="O170" s="212" t="str">
        <f t="shared" si="26"/>
        <v/>
      </c>
      <c r="P170" s="204"/>
      <c r="Q170" s="213"/>
      <c r="R170" s="3"/>
      <c r="S170" s="198">
        <f t="shared" si="28"/>
        <v>0</v>
      </c>
      <c r="T170" s="198">
        <f t="shared" si="29"/>
        <v>0</v>
      </c>
      <c r="U170" s="198">
        <f t="shared" si="30"/>
        <v>0</v>
      </c>
      <c r="V170" s="198">
        <f t="shared" si="31"/>
        <v>0</v>
      </c>
      <c r="W170" s="198">
        <f t="shared" si="32"/>
        <v>0</v>
      </c>
      <c r="X170" s="198">
        <f t="shared" si="33"/>
        <v>0</v>
      </c>
      <c r="Y170" s="198">
        <f t="shared" si="34"/>
        <v>0</v>
      </c>
      <c r="Z170" s="198">
        <f t="shared" si="35"/>
        <v>0</v>
      </c>
      <c r="AB170" s="200"/>
    </row>
    <row r="171" spans="1:28" s="199" customFormat="1" ht="29.25" customHeight="1">
      <c r="A171" s="201"/>
      <c r="B171" s="202">
        <f t="shared" si="36"/>
        <v>0.375</v>
      </c>
      <c r="C171" s="202">
        <f t="shared" si="37"/>
        <v>0.41666666666666669</v>
      </c>
      <c r="D171" s="203"/>
      <c r="E171" s="216"/>
      <c r="F171" s="215"/>
      <c r="G171" s="215"/>
      <c r="H171" s="214"/>
      <c r="I171" s="207"/>
      <c r="J171" s="207"/>
      <c r="K171" s="208">
        <f t="shared" si="27"/>
        <v>0</v>
      </c>
      <c r="L171" s="209"/>
      <c r="M171" s="210"/>
      <c r="N171" s="211"/>
      <c r="O171" s="212" t="str">
        <f t="shared" si="26"/>
        <v/>
      </c>
      <c r="P171" s="204"/>
      <c r="Q171" s="213"/>
      <c r="R171" s="3"/>
      <c r="S171" s="198">
        <f t="shared" si="28"/>
        <v>0</v>
      </c>
      <c r="T171" s="198">
        <f t="shared" si="29"/>
        <v>0</v>
      </c>
      <c r="U171" s="198">
        <f t="shared" si="30"/>
        <v>0</v>
      </c>
      <c r="V171" s="198">
        <f t="shared" si="31"/>
        <v>0</v>
      </c>
      <c r="W171" s="198">
        <f t="shared" si="32"/>
        <v>0</v>
      </c>
      <c r="X171" s="198">
        <f t="shared" si="33"/>
        <v>0</v>
      </c>
      <c r="Y171" s="198">
        <f t="shared" si="34"/>
        <v>0</v>
      </c>
      <c r="Z171" s="198">
        <f t="shared" si="35"/>
        <v>0</v>
      </c>
      <c r="AB171" s="200"/>
    </row>
    <row r="172" spans="1:28" s="199" customFormat="1" ht="29.25" customHeight="1">
      <c r="A172" s="201"/>
      <c r="B172" s="202">
        <f t="shared" si="36"/>
        <v>0.41666666666666669</v>
      </c>
      <c r="C172" s="202">
        <f t="shared" si="37"/>
        <v>0.45833333333333337</v>
      </c>
      <c r="D172" s="217"/>
      <c r="E172" s="216"/>
      <c r="F172" s="215"/>
      <c r="G172" s="215"/>
      <c r="H172" s="214"/>
      <c r="I172" s="207"/>
      <c r="J172" s="207"/>
      <c r="K172" s="208">
        <f t="shared" si="27"/>
        <v>0</v>
      </c>
      <c r="L172" s="209"/>
      <c r="M172" s="210"/>
      <c r="N172" s="211"/>
      <c r="O172" s="212" t="str">
        <f t="shared" si="26"/>
        <v/>
      </c>
      <c r="P172" s="204"/>
      <c r="Q172" s="213"/>
      <c r="R172" s="3"/>
      <c r="S172" s="198">
        <f t="shared" si="28"/>
        <v>0</v>
      </c>
      <c r="T172" s="198">
        <f t="shared" si="29"/>
        <v>0</v>
      </c>
      <c r="U172" s="198">
        <f t="shared" si="30"/>
        <v>0</v>
      </c>
      <c r="V172" s="198">
        <f t="shared" si="31"/>
        <v>0</v>
      </c>
      <c r="W172" s="198">
        <f t="shared" si="32"/>
        <v>0</v>
      </c>
      <c r="X172" s="198">
        <f t="shared" si="33"/>
        <v>0</v>
      </c>
      <c r="Y172" s="198">
        <f t="shared" si="34"/>
        <v>0</v>
      </c>
      <c r="Z172" s="198">
        <f t="shared" si="35"/>
        <v>0</v>
      </c>
      <c r="AB172" s="200"/>
    </row>
    <row r="173" spans="1:28" s="199" customFormat="1" ht="29.25" customHeight="1" thickBot="1">
      <c r="A173" s="218"/>
      <c r="B173" s="219">
        <f t="shared" si="36"/>
        <v>0.45833333333333337</v>
      </c>
      <c r="C173" s="220">
        <f t="shared" si="37"/>
        <v>0.5</v>
      </c>
      <c r="D173" s="221"/>
      <c r="E173" s="221"/>
      <c r="F173" s="222"/>
      <c r="G173" s="222"/>
      <c r="H173" s="214"/>
      <c r="I173" s="223"/>
      <c r="J173" s="223"/>
      <c r="K173" s="224">
        <f t="shared" si="27"/>
        <v>0</v>
      </c>
      <c r="L173" s="225"/>
      <c r="M173" s="226"/>
      <c r="N173" s="227"/>
      <c r="O173" s="286" t="str">
        <f t="shared" si="26"/>
        <v/>
      </c>
      <c r="P173" s="228"/>
      <c r="Q173" s="229"/>
      <c r="R173" s="3"/>
      <c r="S173" s="198">
        <f t="shared" si="28"/>
        <v>0</v>
      </c>
      <c r="T173" s="198">
        <f t="shared" si="29"/>
        <v>0</v>
      </c>
      <c r="U173" s="198">
        <f t="shared" si="30"/>
        <v>0</v>
      </c>
      <c r="V173" s="198">
        <f t="shared" si="31"/>
        <v>0</v>
      </c>
      <c r="W173" s="198">
        <f t="shared" si="32"/>
        <v>0</v>
      </c>
      <c r="X173" s="198">
        <f t="shared" si="33"/>
        <v>0</v>
      </c>
      <c r="Y173" s="198">
        <f t="shared" si="34"/>
        <v>0</v>
      </c>
      <c r="Z173" s="198">
        <f t="shared" si="35"/>
        <v>0</v>
      </c>
      <c r="AB173" s="200"/>
    </row>
    <row r="174" spans="1:28" s="199" customFormat="1" ht="29.25" customHeight="1">
      <c r="A174" s="184">
        <f>A153</f>
        <v>0</v>
      </c>
      <c r="B174" s="185">
        <f>B138</f>
        <v>0</v>
      </c>
      <c r="C174" s="185">
        <f>B174+1/24</f>
        <v>4.1666666666666664E-2</v>
      </c>
      <c r="D174" s="186"/>
      <c r="E174" s="187"/>
      <c r="F174" s="188"/>
      <c r="G174" s="189"/>
      <c r="H174" s="190"/>
      <c r="I174" s="191"/>
      <c r="J174" s="191"/>
      <c r="K174" s="192">
        <f t="shared" si="27"/>
        <v>0</v>
      </c>
      <c r="L174" s="193"/>
      <c r="M174" s="194"/>
      <c r="N174" s="195"/>
      <c r="O174" s="196" t="str">
        <f t="shared" si="26"/>
        <v/>
      </c>
      <c r="P174" s="187"/>
      <c r="Q174" s="197"/>
      <c r="R174" s="3"/>
      <c r="S174" s="198">
        <f t="shared" si="28"/>
        <v>0</v>
      </c>
      <c r="T174" s="198">
        <f t="shared" si="29"/>
        <v>0</v>
      </c>
      <c r="U174" s="198">
        <f t="shared" si="30"/>
        <v>0</v>
      </c>
      <c r="V174" s="198">
        <f t="shared" si="31"/>
        <v>0</v>
      </c>
      <c r="W174" s="198">
        <f t="shared" si="32"/>
        <v>0</v>
      </c>
      <c r="X174" s="198">
        <f t="shared" si="33"/>
        <v>0</v>
      </c>
      <c r="Y174" s="198">
        <f t="shared" si="34"/>
        <v>0</v>
      </c>
      <c r="Z174" s="198">
        <f t="shared" si="35"/>
        <v>0</v>
      </c>
      <c r="AB174" s="200"/>
    </row>
    <row r="175" spans="1:28" s="199" customFormat="1" ht="29.25" customHeight="1">
      <c r="A175" s="201"/>
      <c r="B175" s="202">
        <f>C174</f>
        <v>4.1666666666666664E-2</v>
      </c>
      <c r="C175" s="202">
        <f>B175+1/24</f>
        <v>8.3333333333333329E-2</v>
      </c>
      <c r="D175" s="203"/>
      <c r="E175" s="204"/>
      <c r="F175" s="205"/>
      <c r="G175" s="206"/>
      <c r="H175" s="214"/>
      <c r="I175" s="207"/>
      <c r="J175" s="207"/>
      <c r="K175" s="208">
        <f t="shared" si="27"/>
        <v>0</v>
      </c>
      <c r="L175" s="209"/>
      <c r="M175" s="210"/>
      <c r="N175" s="211"/>
      <c r="O175" s="212" t="str">
        <f t="shared" si="26"/>
        <v/>
      </c>
      <c r="P175" s="204"/>
      <c r="Q175" s="213"/>
      <c r="R175" s="3"/>
      <c r="S175" s="198">
        <f t="shared" si="28"/>
        <v>0</v>
      </c>
      <c r="T175" s="198">
        <f t="shared" si="29"/>
        <v>0</v>
      </c>
      <c r="U175" s="198">
        <f t="shared" si="30"/>
        <v>0</v>
      </c>
      <c r="V175" s="198">
        <f t="shared" si="31"/>
        <v>0</v>
      </c>
      <c r="W175" s="198">
        <f t="shared" si="32"/>
        <v>0</v>
      </c>
      <c r="X175" s="198">
        <f t="shared" si="33"/>
        <v>0</v>
      </c>
      <c r="Y175" s="198">
        <f t="shared" si="34"/>
        <v>0</v>
      </c>
      <c r="Z175" s="198">
        <f t="shared" si="35"/>
        <v>0</v>
      </c>
      <c r="AB175" s="200"/>
    </row>
    <row r="176" spans="1:28" s="199" customFormat="1" ht="29.25" customHeight="1">
      <c r="A176" s="201"/>
      <c r="B176" s="202">
        <f t="shared" ref="B176:B184" si="38">C175</f>
        <v>8.3333333333333329E-2</v>
      </c>
      <c r="C176" s="202">
        <f t="shared" ref="C176:C184" si="39">B176+1/24</f>
        <v>0.125</v>
      </c>
      <c r="D176" s="203"/>
      <c r="E176" s="204"/>
      <c r="F176" s="215"/>
      <c r="G176" s="215"/>
      <c r="H176" s="214"/>
      <c r="I176" s="207"/>
      <c r="J176" s="207"/>
      <c r="K176" s="208">
        <f t="shared" si="27"/>
        <v>0</v>
      </c>
      <c r="L176" s="209"/>
      <c r="M176" s="210"/>
      <c r="N176" s="211"/>
      <c r="O176" s="212" t="str">
        <f t="shared" si="26"/>
        <v/>
      </c>
      <c r="P176" s="204"/>
      <c r="Q176" s="213"/>
      <c r="R176" s="3"/>
      <c r="S176" s="198">
        <f t="shared" si="28"/>
        <v>0</v>
      </c>
      <c r="T176" s="198">
        <f t="shared" si="29"/>
        <v>0</v>
      </c>
      <c r="U176" s="198">
        <f t="shared" si="30"/>
        <v>0</v>
      </c>
      <c r="V176" s="198">
        <f t="shared" si="31"/>
        <v>0</v>
      </c>
      <c r="W176" s="198">
        <f t="shared" si="32"/>
        <v>0</v>
      </c>
      <c r="X176" s="198">
        <f t="shared" si="33"/>
        <v>0</v>
      </c>
      <c r="Y176" s="198">
        <f t="shared" si="34"/>
        <v>0</v>
      </c>
      <c r="Z176" s="198">
        <f t="shared" si="35"/>
        <v>0</v>
      </c>
      <c r="AB176" s="200"/>
    </row>
    <row r="177" spans="1:28" s="199" customFormat="1" ht="29.25" customHeight="1">
      <c r="A177" s="201"/>
      <c r="B177" s="202">
        <f t="shared" si="38"/>
        <v>0.125</v>
      </c>
      <c r="C177" s="202">
        <f t="shared" si="39"/>
        <v>0.16666666666666666</v>
      </c>
      <c r="D177" s="203"/>
      <c r="E177" s="204"/>
      <c r="F177" s="215"/>
      <c r="G177" s="215"/>
      <c r="H177" s="214"/>
      <c r="I177" s="207"/>
      <c r="J177" s="207"/>
      <c r="K177" s="208">
        <f t="shared" si="27"/>
        <v>0</v>
      </c>
      <c r="L177" s="209"/>
      <c r="M177" s="210"/>
      <c r="N177" s="211"/>
      <c r="O177" s="212" t="str">
        <f t="shared" si="26"/>
        <v/>
      </c>
      <c r="P177" s="204"/>
      <c r="Q177" s="213"/>
      <c r="R177" s="3"/>
      <c r="S177" s="198">
        <f t="shared" si="28"/>
        <v>0</v>
      </c>
      <c r="T177" s="198">
        <f t="shared" si="29"/>
        <v>0</v>
      </c>
      <c r="U177" s="198">
        <f t="shared" si="30"/>
        <v>0</v>
      </c>
      <c r="V177" s="198">
        <f t="shared" si="31"/>
        <v>0</v>
      </c>
      <c r="W177" s="198">
        <f t="shared" si="32"/>
        <v>0</v>
      </c>
      <c r="X177" s="198">
        <f t="shared" si="33"/>
        <v>0</v>
      </c>
      <c r="Y177" s="198">
        <f t="shared" si="34"/>
        <v>0</v>
      </c>
      <c r="Z177" s="198">
        <f t="shared" si="35"/>
        <v>0</v>
      </c>
      <c r="AB177" s="200"/>
    </row>
    <row r="178" spans="1:28" s="199" customFormat="1" ht="29.25" customHeight="1">
      <c r="A178" s="201"/>
      <c r="B178" s="202">
        <f t="shared" si="38"/>
        <v>0.16666666666666666</v>
      </c>
      <c r="C178" s="202">
        <f t="shared" si="39"/>
        <v>0.20833333333333331</v>
      </c>
      <c r="D178" s="203"/>
      <c r="E178" s="204"/>
      <c r="F178" s="215"/>
      <c r="G178" s="215"/>
      <c r="H178" s="214"/>
      <c r="I178" s="207"/>
      <c r="J178" s="207"/>
      <c r="K178" s="208">
        <f t="shared" si="27"/>
        <v>0</v>
      </c>
      <c r="L178" s="209"/>
      <c r="M178" s="210"/>
      <c r="N178" s="211"/>
      <c r="O178" s="212" t="str">
        <f t="shared" si="26"/>
        <v/>
      </c>
      <c r="P178" s="204"/>
      <c r="Q178" s="213"/>
      <c r="R178" s="3"/>
      <c r="S178" s="198">
        <f t="shared" si="28"/>
        <v>0</v>
      </c>
      <c r="T178" s="198">
        <f t="shared" si="29"/>
        <v>0</v>
      </c>
      <c r="U178" s="198">
        <f t="shared" si="30"/>
        <v>0</v>
      </c>
      <c r="V178" s="198">
        <f t="shared" si="31"/>
        <v>0</v>
      </c>
      <c r="W178" s="198">
        <f t="shared" si="32"/>
        <v>0</v>
      </c>
      <c r="X178" s="198">
        <f t="shared" si="33"/>
        <v>0</v>
      </c>
      <c r="Y178" s="198">
        <f t="shared" si="34"/>
        <v>0</v>
      </c>
      <c r="Z178" s="198">
        <f t="shared" si="35"/>
        <v>0</v>
      </c>
      <c r="AB178" s="200"/>
    </row>
    <row r="179" spans="1:28" s="199" customFormat="1" ht="29.25" customHeight="1">
      <c r="A179" s="201"/>
      <c r="B179" s="202">
        <f t="shared" si="38"/>
        <v>0.20833333333333331</v>
      </c>
      <c r="C179" s="202">
        <f t="shared" si="39"/>
        <v>0.24999999999999997</v>
      </c>
      <c r="D179" s="203"/>
      <c r="E179" s="204"/>
      <c r="F179" s="215"/>
      <c r="G179" s="215"/>
      <c r="H179" s="214"/>
      <c r="I179" s="207"/>
      <c r="J179" s="207"/>
      <c r="K179" s="208">
        <f t="shared" si="27"/>
        <v>0</v>
      </c>
      <c r="L179" s="209"/>
      <c r="M179" s="210"/>
      <c r="N179" s="211"/>
      <c r="O179" s="212" t="str">
        <f t="shared" si="26"/>
        <v/>
      </c>
      <c r="P179" s="204"/>
      <c r="Q179" s="213"/>
      <c r="R179" s="3"/>
      <c r="S179" s="198">
        <f t="shared" si="28"/>
        <v>0</v>
      </c>
      <c r="T179" s="198">
        <f t="shared" si="29"/>
        <v>0</v>
      </c>
      <c r="U179" s="198">
        <f t="shared" si="30"/>
        <v>0</v>
      </c>
      <c r="V179" s="198">
        <f t="shared" si="31"/>
        <v>0</v>
      </c>
      <c r="W179" s="198">
        <f t="shared" si="32"/>
        <v>0</v>
      </c>
      <c r="X179" s="198">
        <f t="shared" si="33"/>
        <v>0</v>
      </c>
      <c r="Y179" s="198">
        <f t="shared" si="34"/>
        <v>0</v>
      </c>
      <c r="Z179" s="198">
        <f t="shared" si="35"/>
        <v>0</v>
      </c>
      <c r="AB179" s="200"/>
    </row>
    <row r="180" spans="1:28" s="199" customFormat="1" ht="29.25" customHeight="1">
      <c r="A180" s="201"/>
      <c r="B180" s="202">
        <f t="shared" si="38"/>
        <v>0.24999999999999997</v>
      </c>
      <c r="C180" s="202">
        <f t="shared" si="39"/>
        <v>0.29166666666666663</v>
      </c>
      <c r="D180" s="203"/>
      <c r="E180" s="216"/>
      <c r="F180" s="215"/>
      <c r="G180" s="215"/>
      <c r="H180" s="214"/>
      <c r="I180" s="207"/>
      <c r="J180" s="207"/>
      <c r="K180" s="208">
        <f t="shared" si="27"/>
        <v>0</v>
      </c>
      <c r="L180" s="209"/>
      <c r="M180" s="210"/>
      <c r="N180" s="211"/>
      <c r="O180" s="212" t="str">
        <f t="shared" si="26"/>
        <v/>
      </c>
      <c r="P180" s="204"/>
      <c r="Q180" s="213"/>
      <c r="R180" s="3"/>
      <c r="S180" s="198">
        <f t="shared" si="28"/>
        <v>0</v>
      </c>
      <c r="T180" s="198">
        <f t="shared" si="29"/>
        <v>0</v>
      </c>
      <c r="U180" s="198">
        <f t="shared" si="30"/>
        <v>0</v>
      </c>
      <c r="V180" s="198">
        <f t="shared" si="31"/>
        <v>0</v>
      </c>
      <c r="W180" s="198">
        <f t="shared" si="32"/>
        <v>0</v>
      </c>
      <c r="X180" s="198">
        <f t="shared" si="33"/>
        <v>0</v>
      </c>
      <c r="Y180" s="198">
        <f t="shared" si="34"/>
        <v>0</v>
      </c>
      <c r="Z180" s="198">
        <f t="shared" si="35"/>
        <v>0</v>
      </c>
      <c r="AB180" s="200"/>
    </row>
    <row r="181" spans="1:28" s="199" customFormat="1" ht="29.25" customHeight="1">
      <c r="A181" s="201"/>
      <c r="B181" s="202">
        <f t="shared" si="38"/>
        <v>0.29166666666666663</v>
      </c>
      <c r="C181" s="202">
        <f t="shared" si="39"/>
        <v>0.33333333333333331</v>
      </c>
      <c r="D181" s="203"/>
      <c r="E181" s="216"/>
      <c r="F181" s="205"/>
      <c r="G181" s="206"/>
      <c r="H181" s="214"/>
      <c r="I181" s="207"/>
      <c r="J181" s="207"/>
      <c r="K181" s="208">
        <f t="shared" si="27"/>
        <v>0</v>
      </c>
      <c r="L181" s="209"/>
      <c r="M181" s="210"/>
      <c r="N181" s="211"/>
      <c r="O181" s="212" t="str">
        <f t="shared" si="26"/>
        <v/>
      </c>
      <c r="P181" s="204"/>
      <c r="Q181" s="213"/>
      <c r="R181" s="3"/>
      <c r="S181" s="198">
        <f t="shared" si="28"/>
        <v>0</v>
      </c>
      <c r="T181" s="198">
        <f t="shared" si="29"/>
        <v>0</v>
      </c>
      <c r="U181" s="198">
        <f t="shared" si="30"/>
        <v>0</v>
      </c>
      <c r="V181" s="198">
        <f t="shared" si="31"/>
        <v>0</v>
      </c>
      <c r="W181" s="198">
        <f t="shared" si="32"/>
        <v>0</v>
      </c>
      <c r="X181" s="198">
        <f t="shared" si="33"/>
        <v>0</v>
      </c>
      <c r="Y181" s="198">
        <f t="shared" si="34"/>
        <v>0</v>
      </c>
      <c r="Z181" s="198">
        <f t="shared" si="35"/>
        <v>0</v>
      </c>
      <c r="AB181" s="200"/>
    </row>
    <row r="182" spans="1:28" s="199" customFormat="1" ht="29.25" customHeight="1">
      <c r="A182" s="201"/>
      <c r="B182" s="202">
        <f t="shared" si="38"/>
        <v>0.33333333333333331</v>
      </c>
      <c r="C182" s="202">
        <f t="shared" si="39"/>
        <v>0.375</v>
      </c>
      <c r="D182" s="203"/>
      <c r="E182" s="216"/>
      <c r="F182" s="205"/>
      <c r="G182" s="206"/>
      <c r="H182" s="214"/>
      <c r="I182" s="207"/>
      <c r="J182" s="207"/>
      <c r="K182" s="208">
        <f t="shared" si="27"/>
        <v>0</v>
      </c>
      <c r="L182" s="209"/>
      <c r="M182" s="210"/>
      <c r="N182" s="211"/>
      <c r="O182" s="212" t="str">
        <f t="shared" si="26"/>
        <v/>
      </c>
      <c r="P182" s="204"/>
      <c r="Q182" s="213"/>
      <c r="R182" s="3"/>
      <c r="S182" s="198">
        <f t="shared" si="28"/>
        <v>0</v>
      </c>
      <c r="T182" s="198">
        <f t="shared" si="29"/>
        <v>0</v>
      </c>
      <c r="U182" s="198">
        <f t="shared" si="30"/>
        <v>0</v>
      </c>
      <c r="V182" s="198">
        <f t="shared" si="31"/>
        <v>0</v>
      </c>
      <c r="W182" s="198">
        <f t="shared" si="32"/>
        <v>0</v>
      </c>
      <c r="X182" s="198">
        <f t="shared" si="33"/>
        <v>0</v>
      </c>
      <c r="Y182" s="198">
        <f t="shared" si="34"/>
        <v>0</v>
      </c>
      <c r="Z182" s="198">
        <f t="shared" si="35"/>
        <v>0</v>
      </c>
      <c r="AB182" s="200"/>
    </row>
    <row r="183" spans="1:28" s="199" customFormat="1" ht="29.25" customHeight="1">
      <c r="A183" s="201"/>
      <c r="B183" s="202">
        <f t="shared" si="38"/>
        <v>0.375</v>
      </c>
      <c r="C183" s="202">
        <f t="shared" si="39"/>
        <v>0.41666666666666669</v>
      </c>
      <c r="D183" s="203"/>
      <c r="E183" s="216"/>
      <c r="F183" s="215"/>
      <c r="G183" s="215"/>
      <c r="H183" s="214"/>
      <c r="I183" s="207"/>
      <c r="J183" s="207"/>
      <c r="K183" s="208">
        <f t="shared" si="27"/>
        <v>0</v>
      </c>
      <c r="L183" s="209"/>
      <c r="M183" s="210"/>
      <c r="N183" s="211"/>
      <c r="O183" s="212" t="str">
        <f t="shared" si="26"/>
        <v/>
      </c>
      <c r="P183" s="204"/>
      <c r="Q183" s="213"/>
      <c r="R183" s="3"/>
      <c r="S183" s="198">
        <f t="shared" si="28"/>
        <v>0</v>
      </c>
      <c r="T183" s="198">
        <f t="shared" si="29"/>
        <v>0</v>
      </c>
      <c r="U183" s="198">
        <f t="shared" si="30"/>
        <v>0</v>
      </c>
      <c r="V183" s="198">
        <f t="shared" si="31"/>
        <v>0</v>
      </c>
      <c r="W183" s="198">
        <f t="shared" si="32"/>
        <v>0</v>
      </c>
      <c r="X183" s="198">
        <f t="shared" si="33"/>
        <v>0</v>
      </c>
      <c r="Y183" s="198">
        <f t="shared" si="34"/>
        <v>0</v>
      </c>
      <c r="Z183" s="198">
        <f t="shared" si="35"/>
        <v>0</v>
      </c>
      <c r="AB183" s="200"/>
    </row>
    <row r="184" spans="1:28" s="199" customFormat="1" ht="29.25" customHeight="1" thickBot="1">
      <c r="A184" s="218"/>
      <c r="B184" s="219">
        <f t="shared" si="38"/>
        <v>0.41666666666666669</v>
      </c>
      <c r="C184" s="219">
        <f t="shared" si="39"/>
        <v>0.45833333333333337</v>
      </c>
      <c r="D184" s="230"/>
      <c r="E184" s="221"/>
      <c r="F184" s="222"/>
      <c r="G184" s="222"/>
      <c r="H184" s="231"/>
      <c r="I184" s="223"/>
      <c r="J184" s="223"/>
      <c r="K184" s="224">
        <f t="shared" si="27"/>
        <v>0</v>
      </c>
      <c r="L184" s="225"/>
      <c r="M184" s="226"/>
      <c r="N184" s="227"/>
      <c r="O184" s="286" t="str">
        <f t="shared" si="26"/>
        <v/>
      </c>
      <c r="P184" s="228"/>
      <c r="Q184" s="229"/>
      <c r="R184" s="3"/>
      <c r="S184" s="198">
        <f t="shared" si="28"/>
        <v>0</v>
      </c>
      <c r="T184" s="198">
        <f t="shared" si="29"/>
        <v>0</v>
      </c>
      <c r="U184" s="198">
        <f t="shared" si="30"/>
        <v>0</v>
      </c>
      <c r="V184" s="198">
        <f t="shared" si="31"/>
        <v>0</v>
      </c>
      <c r="W184" s="198">
        <f t="shared" si="32"/>
        <v>0</v>
      </c>
      <c r="X184" s="198">
        <f t="shared" si="33"/>
        <v>0</v>
      </c>
      <c r="Y184" s="198">
        <f t="shared" si="34"/>
        <v>0</v>
      </c>
      <c r="Z184" s="198">
        <f t="shared" si="35"/>
        <v>0</v>
      </c>
      <c r="AB184" s="200"/>
    </row>
    <row r="185" spans="1:28" s="199" customFormat="1" ht="29.25" customHeight="1">
      <c r="A185" s="184">
        <f>A154</f>
        <v>0</v>
      </c>
      <c r="B185" s="185">
        <f>B140</f>
        <v>0</v>
      </c>
      <c r="C185" s="185">
        <f>B185+1/24</f>
        <v>4.1666666666666664E-2</v>
      </c>
      <c r="D185" s="186"/>
      <c r="E185" s="187"/>
      <c r="F185" s="188"/>
      <c r="G185" s="189"/>
      <c r="H185" s="190"/>
      <c r="I185" s="191"/>
      <c r="J185" s="191"/>
      <c r="K185" s="192">
        <f t="shared" si="27"/>
        <v>0</v>
      </c>
      <c r="L185" s="193"/>
      <c r="M185" s="194"/>
      <c r="N185" s="195"/>
      <c r="O185" s="196" t="str">
        <f t="shared" si="26"/>
        <v/>
      </c>
      <c r="P185" s="187"/>
      <c r="Q185" s="197"/>
      <c r="R185" s="3"/>
      <c r="S185" s="198">
        <f t="shared" si="28"/>
        <v>0</v>
      </c>
      <c r="T185" s="198">
        <f t="shared" si="29"/>
        <v>0</v>
      </c>
      <c r="U185" s="198">
        <f t="shared" si="30"/>
        <v>0</v>
      </c>
      <c r="V185" s="198">
        <f t="shared" si="31"/>
        <v>0</v>
      </c>
      <c r="W185" s="198">
        <f t="shared" si="32"/>
        <v>0</v>
      </c>
      <c r="X185" s="198">
        <f t="shared" si="33"/>
        <v>0</v>
      </c>
      <c r="Y185" s="198">
        <f t="shared" si="34"/>
        <v>0</v>
      </c>
      <c r="Z185" s="198">
        <f t="shared" si="35"/>
        <v>0</v>
      </c>
      <c r="AB185" s="200"/>
    </row>
    <row r="186" spans="1:28" s="199" customFormat="1" ht="29.25" customHeight="1">
      <c r="A186" s="201"/>
      <c r="B186" s="202">
        <f>C185</f>
        <v>4.1666666666666664E-2</v>
      </c>
      <c r="C186" s="202">
        <f>B186+1/24</f>
        <v>8.3333333333333329E-2</v>
      </c>
      <c r="D186" s="203"/>
      <c r="E186" s="204"/>
      <c r="F186" s="205"/>
      <c r="G186" s="206"/>
      <c r="H186" s="214"/>
      <c r="I186" s="207"/>
      <c r="J186" s="207"/>
      <c r="K186" s="208">
        <f t="shared" si="27"/>
        <v>0</v>
      </c>
      <c r="L186" s="209"/>
      <c r="M186" s="210"/>
      <c r="N186" s="211"/>
      <c r="O186" s="212" t="str">
        <f t="shared" si="26"/>
        <v/>
      </c>
      <c r="P186" s="204"/>
      <c r="Q186" s="213"/>
      <c r="R186" s="3"/>
      <c r="S186" s="198">
        <f t="shared" si="28"/>
        <v>0</v>
      </c>
      <c r="T186" s="198">
        <f t="shared" si="29"/>
        <v>0</v>
      </c>
      <c r="U186" s="198">
        <f t="shared" si="30"/>
        <v>0</v>
      </c>
      <c r="V186" s="198">
        <f t="shared" si="31"/>
        <v>0</v>
      </c>
      <c r="W186" s="198">
        <f t="shared" si="32"/>
        <v>0</v>
      </c>
      <c r="X186" s="198">
        <f t="shared" si="33"/>
        <v>0</v>
      </c>
      <c r="Y186" s="198">
        <f t="shared" si="34"/>
        <v>0</v>
      </c>
      <c r="Z186" s="198">
        <f t="shared" si="35"/>
        <v>0</v>
      </c>
      <c r="AB186" s="200"/>
    </row>
    <row r="187" spans="1:28" s="199" customFormat="1" ht="29.25" customHeight="1">
      <c r="A187" s="201"/>
      <c r="B187" s="202">
        <f t="shared" ref="B187:B195" si="40">C186</f>
        <v>8.3333333333333329E-2</v>
      </c>
      <c r="C187" s="202">
        <f t="shared" ref="C187:C195" si="41">B187+1/24</f>
        <v>0.125</v>
      </c>
      <c r="D187" s="203"/>
      <c r="E187" s="204"/>
      <c r="F187" s="215"/>
      <c r="G187" s="215"/>
      <c r="H187" s="214"/>
      <c r="I187" s="207"/>
      <c r="J187" s="207"/>
      <c r="K187" s="208">
        <f t="shared" si="27"/>
        <v>0</v>
      </c>
      <c r="L187" s="209"/>
      <c r="M187" s="210"/>
      <c r="N187" s="211"/>
      <c r="O187" s="212" t="str">
        <f t="shared" si="26"/>
        <v/>
      </c>
      <c r="P187" s="204"/>
      <c r="Q187" s="213"/>
      <c r="R187" s="3"/>
      <c r="S187" s="198">
        <f t="shared" si="28"/>
        <v>0</v>
      </c>
      <c r="T187" s="198">
        <f t="shared" si="29"/>
        <v>0</v>
      </c>
      <c r="U187" s="198">
        <f t="shared" si="30"/>
        <v>0</v>
      </c>
      <c r="V187" s="198">
        <f t="shared" si="31"/>
        <v>0</v>
      </c>
      <c r="W187" s="198">
        <f t="shared" si="32"/>
        <v>0</v>
      </c>
      <c r="X187" s="198">
        <f t="shared" si="33"/>
        <v>0</v>
      </c>
      <c r="Y187" s="198">
        <f t="shared" si="34"/>
        <v>0</v>
      </c>
      <c r="Z187" s="198">
        <f t="shared" si="35"/>
        <v>0</v>
      </c>
      <c r="AB187" s="200"/>
    </row>
    <row r="188" spans="1:28" s="199" customFormat="1" ht="29.25" customHeight="1">
      <c r="A188" s="201"/>
      <c r="B188" s="202">
        <f t="shared" si="40"/>
        <v>0.125</v>
      </c>
      <c r="C188" s="202">
        <f t="shared" si="41"/>
        <v>0.16666666666666666</v>
      </c>
      <c r="D188" s="203"/>
      <c r="E188" s="204"/>
      <c r="F188" s="215"/>
      <c r="G188" s="215"/>
      <c r="H188" s="214"/>
      <c r="I188" s="207"/>
      <c r="J188" s="207"/>
      <c r="K188" s="208">
        <f t="shared" si="27"/>
        <v>0</v>
      </c>
      <c r="L188" s="209"/>
      <c r="M188" s="210"/>
      <c r="N188" s="211"/>
      <c r="O188" s="212" t="str">
        <f t="shared" si="26"/>
        <v/>
      </c>
      <c r="P188" s="204"/>
      <c r="Q188" s="213"/>
      <c r="R188" s="3"/>
      <c r="S188" s="198">
        <f t="shared" si="28"/>
        <v>0</v>
      </c>
      <c r="T188" s="198">
        <f t="shared" si="29"/>
        <v>0</v>
      </c>
      <c r="U188" s="198">
        <f t="shared" si="30"/>
        <v>0</v>
      </c>
      <c r="V188" s="198">
        <f t="shared" si="31"/>
        <v>0</v>
      </c>
      <c r="W188" s="198">
        <f t="shared" si="32"/>
        <v>0</v>
      </c>
      <c r="X188" s="198">
        <f t="shared" si="33"/>
        <v>0</v>
      </c>
      <c r="Y188" s="198">
        <f t="shared" si="34"/>
        <v>0</v>
      </c>
      <c r="Z188" s="198">
        <f t="shared" si="35"/>
        <v>0</v>
      </c>
      <c r="AB188" s="200"/>
    </row>
    <row r="189" spans="1:28" s="199" customFormat="1" ht="29.25" customHeight="1">
      <c r="A189" s="201"/>
      <c r="B189" s="202">
        <f t="shared" si="40"/>
        <v>0.16666666666666666</v>
      </c>
      <c r="C189" s="202">
        <f t="shared" si="41"/>
        <v>0.20833333333333331</v>
      </c>
      <c r="D189" s="203"/>
      <c r="E189" s="204"/>
      <c r="F189" s="215"/>
      <c r="G189" s="215"/>
      <c r="H189" s="214"/>
      <c r="I189" s="207"/>
      <c r="J189" s="207"/>
      <c r="K189" s="208">
        <f t="shared" si="27"/>
        <v>0</v>
      </c>
      <c r="L189" s="209"/>
      <c r="M189" s="210"/>
      <c r="N189" s="211"/>
      <c r="O189" s="212" t="str">
        <f t="shared" si="26"/>
        <v/>
      </c>
      <c r="P189" s="204"/>
      <c r="Q189" s="213"/>
      <c r="R189" s="3"/>
      <c r="S189" s="198">
        <f t="shared" si="28"/>
        <v>0</v>
      </c>
      <c r="T189" s="198">
        <f t="shared" si="29"/>
        <v>0</v>
      </c>
      <c r="U189" s="198">
        <f t="shared" si="30"/>
        <v>0</v>
      </c>
      <c r="V189" s="198">
        <f t="shared" si="31"/>
        <v>0</v>
      </c>
      <c r="W189" s="198">
        <f t="shared" si="32"/>
        <v>0</v>
      </c>
      <c r="X189" s="198">
        <f t="shared" si="33"/>
        <v>0</v>
      </c>
      <c r="Y189" s="198">
        <f t="shared" si="34"/>
        <v>0</v>
      </c>
      <c r="Z189" s="198">
        <f t="shared" si="35"/>
        <v>0</v>
      </c>
      <c r="AB189" s="200"/>
    </row>
    <row r="190" spans="1:28" s="199" customFormat="1" ht="29.25" customHeight="1">
      <c r="A190" s="201"/>
      <c r="B190" s="202">
        <f t="shared" si="40"/>
        <v>0.20833333333333331</v>
      </c>
      <c r="C190" s="202">
        <f t="shared" si="41"/>
        <v>0.24999999999999997</v>
      </c>
      <c r="D190" s="203"/>
      <c r="E190" s="204"/>
      <c r="F190" s="215"/>
      <c r="G190" s="215"/>
      <c r="H190" s="214"/>
      <c r="I190" s="207"/>
      <c r="J190" s="207"/>
      <c r="K190" s="208">
        <f t="shared" si="27"/>
        <v>0</v>
      </c>
      <c r="L190" s="209"/>
      <c r="M190" s="210"/>
      <c r="N190" s="211"/>
      <c r="O190" s="212" t="str">
        <f t="shared" si="26"/>
        <v/>
      </c>
      <c r="P190" s="204"/>
      <c r="Q190" s="213"/>
      <c r="R190" s="3"/>
      <c r="S190" s="198">
        <f t="shared" si="28"/>
        <v>0</v>
      </c>
      <c r="T190" s="198">
        <f t="shared" si="29"/>
        <v>0</v>
      </c>
      <c r="U190" s="198">
        <f t="shared" si="30"/>
        <v>0</v>
      </c>
      <c r="V190" s="198">
        <f t="shared" si="31"/>
        <v>0</v>
      </c>
      <c r="W190" s="198">
        <f t="shared" si="32"/>
        <v>0</v>
      </c>
      <c r="X190" s="198">
        <f t="shared" si="33"/>
        <v>0</v>
      </c>
      <c r="Y190" s="198">
        <f t="shared" si="34"/>
        <v>0</v>
      </c>
      <c r="Z190" s="198">
        <f t="shared" si="35"/>
        <v>0</v>
      </c>
      <c r="AB190" s="200"/>
    </row>
    <row r="191" spans="1:28" s="199" customFormat="1" ht="29.25" customHeight="1">
      <c r="A191" s="201"/>
      <c r="B191" s="202">
        <f t="shared" si="40"/>
        <v>0.24999999999999997</v>
      </c>
      <c r="C191" s="202">
        <f t="shared" si="41"/>
        <v>0.29166666666666663</v>
      </c>
      <c r="D191" s="203"/>
      <c r="E191" s="216"/>
      <c r="F191" s="215"/>
      <c r="G191" s="215"/>
      <c r="H191" s="214"/>
      <c r="I191" s="207"/>
      <c r="J191" s="207"/>
      <c r="K191" s="208">
        <f t="shared" si="27"/>
        <v>0</v>
      </c>
      <c r="L191" s="209"/>
      <c r="M191" s="210"/>
      <c r="N191" s="211"/>
      <c r="O191" s="212" t="str">
        <f t="shared" si="26"/>
        <v/>
      </c>
      <c r="P191" s="204"/>
      <c r="Q191" s="213"/>
      <c r="R191" s="3"/>
      <c r="S191" s="198">
        <f t="shared" si="28"/>
        <v>0</v>
      </c>
      <c r="T191" s="198">
        <f t="shared" si="29"/>
        <v>0</v>
      </c>
      <c r="U191" s="198">
        <f t="shared" si="30"/>
        <v>0</v>
      </c>
      <c r="V191" s="198">
        <f t="shared" si="31"/>
        <v>0</v>
      </c>
      <c r="W191" s="198">
        <f t="shared" si="32"/>
        <v>0</v>
      </c>
      <c r="X191" s="198">
        <f t="shared" si="33"/>
        <v>0</v>
      </c>
      <c r="Y191" s="198">
        <f t="shared" si="34"/>
        <v>0</v>
      </c>
      <c r="Z191" s="198">
        <f t="shared" si="35"/>
        <v>0</v>
      </c>
      <c r="AB191" s="200"/>
    </row>
    <row r="192" spans="1:28" s="199" customFormat="1" ht="29.25" customHeight="1">
      <c r="A192" s="201"/>
      <c r="B192" s="202">
        <f t="shared" si="40"/>
        <v>0.29166666666666663</v>
      </c>
      <c r="C192" s="202">
        <f t="shared" si="41"/>
        <v>0.33333333333333331</v>
      </c>
      <c r="D192" s="203"/>
      <c r="E192" s="216"/>
      <c r="F192" s="205"/>
      <c r="G192" s="206"/>
      <c r="H192" s="214"/>
      <c r="I192" s="207"/>
      <c r="J192" s="207"/>
      <c r="K192" s="208">
        <f t="shared" si="27"/>
        <v>0</v>
      </c>
      <c r="L192" s="209"/>
      <c r="M192" s="210"/>
      <c r="N192" s="211"/>
      <c r="O192" s="212" t="str">
        <f t="shared" si="26"/>
        <v/>
      </c>
      <c r="P192" s="204"/>
      <c r="Q192" s="213"/>
      <c r="R192" s="3"/>
      <c r="S192" s="198">
        <f t="shared" si="28"/>
        <v>0</v>
      </c>
      <c r="T192" s="198">
        <f t="shared" si="29"/>
        <v>0</v>
      </c>
      <c r="U192" s="198">
        <f t="shared" si="30"/>
        <v>0</v>
      </c>
      <c r="V192" s="198">
        <f t="shared" si="31"/>
        <v>0</v>
      </c>
      <c r="W192" s="198">
        <f t="shared" si="32"/>
        <v>0</v>
      </c>
      <c r="X192" s="198">
        <f t="shared" si="33"/>
        <v>0</v>
      </c>
      <c r="Y192" s="198">
        <f t="shared" si="34"/>
        <v>0</v>
      </c>
      <c r="Z192" s="198">
        <f t="shared" si="35"/>
        <v>0</v>
      </c>
      <c r="AB192" s="200"/>
    </row>
    <row r="193" spans="1:28" s="199" customFormat="1" ht="29.25" customHeight="1">
      <c r="A193" s="201"/>
      <c r="B193" s="202">
        <f t="shared" si="40"/>
        <v>0.33333333333333331</v>
      </c>
      <c r="C193" s="202">
        <f t="shared" si="41"/>
        <v>0.375</v>
      </c>
      <c r="D193" s="203"/>
      <c r="E193" s="216"/>
      <c r="F193" s="205"/>
      <c r="G193" s="206"/>
      <c r="H193" s="214"/>
      <c r="I193" s="207"/>
      <c r="J193" s="207"/>
      <c r="K193" s="208">
        <f t="shared" si="27"/>
        <v>0</v>
      </c>
      <c r="L193" s="209"/>
      <c r="M193" s="210"/>
      <c r="N193" s="211"/>
      <c r="O193" s="212" t="str">
        <f t="shared" si="26"/>
        <v/>
      </c>
      <c r="P193" s="204"/>
      <c r="Q193" s="213"/>
      <c r="R193" s="3"/>
      <c r="S193" s="198">
        <f t="shared" si="28"/>
        <v>0</v>
      </c>
      <c r="T193" s="198">
        <f t="shared" si="29"/>
        <v>0</v>
      </c>
      <c r="U193" s="198">
        <f t="shared" si="30"/>
        <v>0</v>
      </c>
      <c r="V193" s="198">
        <f t="shared" si="31"/>
        <v>0</v>
      </c>
      <c r="W193" s="198">
        <f t="shared" si="32"/>
        <v>0</v>
      </c>
      <c r="X193" s="198">
        <f t="shared" si="33"/>
        <v>0</v>
      </c>
      <c r="Y193" s="198">
        <f t="shared" si="34"/>
        <v>0</v>
      </c>
      <c r="Z193" s="198">
        <f t="shared" si="35"/>
        <v>0</v>
      </c>
      <c r="AB193" s="200"/>
    </row>
    <row r="194" spans="1:28" ht="29.25" customHeight="1">
      <c r="A194" s="201"/>
      <c r="B194" s="202">
        <f t="shared" si="40"/>
        <v>0.375</v>
      </c>
      <c r="C194" s="202">
        <f t="shared" si="41"/>
        <v>0.41666666666666669</v>
      </c>
      <c r="D194" s="203"/>
      <c r="E194" s="216"/>
      <c r="F194" s="215"/>
      <c r="G194" s="215"/>
      <c r="H194" s="214"/>
      <c r="I194" s="207"/>
      <c r="J194" s="207"/>
      <c r="K194" s="208">
        <f t="shared" si="27"/>
        <v>0</v>
      </c>
      <c r="L194" s="209"/>
      <c r="M194" s="210"/>
      <c r="N194" s="211"/>
      <c r="O194" s="212" t="str">
        <f t="shared" si="26"/>
        <v/>
      </c>
      <c r="P194" s="204"/>
      <c r="Q194" s="213"/>
      <c r="S194" s="198">
        <f t="shared" si="28"/>
        <v>0</v>
      </c>
      <c r="T194" s="198">
        <f t="shared" si="29"/>
        <v>0</v>
      </c>
      <c r="U194" s="198">
        <f t="shared" si="30"/>
        <v>0</v>
      </c>
      <c r="V194" s="198">
        <f t="shared" si="31"/>
        <v>0</v>
      </c>
      <c r="W194" s="198">
        <f t="shared" si="32"/>
        <v>0</v>
      </c>
      <c r="X194" s="198">
        <f t="shared" si="33"/>
        <v>0</v>
      </c>
      <c r="Y194" s="198">
        <f t="shared" si="34"/>
        <v>0</v>
      </c>
      <c r="Z194" s="198">
        <f t="shared" si="35"/>
        <v>0</v>
      </c>
      <c r="AB194" s="200"/>
    </row>
    <row r="195" spans="1:28" ht="29.25" customHeight="1" thickBot="1">
      <c r="A195" s="218"/>
      <c r="B195" s="219">
        <f t="shared" si="40"/>
        <v>0.41666666666666669</v>
      </c>
      <c r="C195" s="219">
        <f t="shared" si="41"/>
        <v>0.45833333333333337</v>
      </c>
      <c r="D195" s="230"/>
      <c r="E195" s="221"/>
      <c r="F195" s="222"/>
      <c r="G195" s="222"/>
      <c r="H195" s="231"/>
      <c r="I195" s="223"/>
      <c r="J195" s="223"/>
      <c r="K195" s="224">
        <f t="shared" si="27"/>
        <v>0</v>
      </c>
      <c r="L195" s="225"/>
      <c r="M195" s="226"/>
      <c r="N195" s="227"/>
      <c r="O195" s="286" t="str">
        <f t="shared" si="26"/>
        <v/>
      </c>
      <c r="P195" s="228"/>
      <c r="Q195" s="229"/>
      <c r="S195" s="198">
        <f t="shared" si="28"/>
        <v>0</v>
      </c>
      <c r="T195" s="198">
        <f t="shared" si="29"/>
        <v>0</v>
      </c>
      <c r="U195" s="198">
        <f t="shared" si="30"/>
        <v>0</v>
      </c>
      <c r="V195" s="198">
        <f t="shared" si="31"/>
        <v>0</v>
      </c>
      <c r="W195" s="198">
        <f t="shared" si="32"/>
        <v>0</v>
      </c>
      <c r="X195" s="198">
        <f t="shared" si="33"/>
        <v>0</v>
      </c>
      <c r="Y195" s="198">
        <f t="shared" si="34"/>
        <v>0</v>
      </c>
      <c r="Z195" s="198">
        <f t="shared" si="35"/>
        <v>0</v>
      </c>
      <c r="AB195" s="200"/>
    </row>
    <row r="196" spans="1:28" ht="29.25" customHeight="1">
      <c r="A196" s="184">
        <f>A155</f>
        <v>0</v>
      </c>
      <c r="B196" s="185">
        <f>B142</f>
        <v>0</v>
      </c>
      <c r="C196" s="185">
        <f>B196+1/24</f>
        <v>4.1666666666666664E-2</v>
      </c>
      <c r="D196" s="186"/>
      <c r="E196" s="187"/>
      <c r="F196" s="188"/>
      <c r="G196" s="189"/>
      <c r="H196" s="190"/>
      <c r="I196" s="191"/>
      <c r="J196" s="191"/>
      <c r="K196" s="192">
        <f t="shared" si="27"/>
        <v>0</v>
      </c>
      <c r="L196" s="193"/>
      <c r="M196" s="194"/>
      <c r="N196" s="195"/>
      <c r="O196" s="196" t="str">
        <f t="shared" si="26"/>
        <v/>
      </c>
      <c r="P196" s="187"/>
      <c r="Q196" s="197"/>
      <c r="S196" s="198">
        <f t="shared" si="28"/>
        <v>0</v>
      </c>
      <c r="T196" s="198">
        <f t="shared" si="29"/>
        <v>0</v>
      </c>
      <c r="U196" s="198">
        <f t="shared" si="30"/>
        <v>0</v>
      </c>
      <c r="V196" s="198">
        <f t="shared" si="31"/>
        <v>0</v>
      </c>
      <c r="W196" s="198">
        <f t="shared" si="32"/>
        <v>0</v>
      </c>
      <c r="X196" s="198">
        <f t="shared" si="33"/>
        <v>0</v>
      </c>
      <c r="Y196" s="198">
        <f t="shared" si="34"/>
        <v>0</v>
      </c>
      <c r="Z196" s="198">
        <f t="shared" si="35"/>
        <v>0</v>
      </c>
      <c r="AB196" s="200"/>
    </row>
    <row r="197" spans="1:28" ht="29.25" customHeight="1">
      <c r="A197" s="201"/>
      <c r="B197" s="202">
        <f>C196</f>
        <v>4.1666666666666664E-2</v>
      </c>
      <c r="C197" s="202">
        <f>B197+1/24</f>
        <v>8.3333333333333329E-2</v>
      </c>
      <c r="D197" s="203"/>
      <c r="E197" s="204"/>
      <c r="F197" s="205"/>
      <c r="G197" s="206"/>
      <c r="H197" s="214"/>
      <c r="I197" s="207"/>
      <c r="J197" s="207"/>
      <c r="K197" s="208">
        <f t="shared" si="27"/>
        <v>0</v>
      </c>
      <c r="L197" s="209"/>
      <c r="M197" s="210"/>
      <c r="N197" s="211"/>
      <c r="O197" s="212" t="str">
        <f t="shared" si="26"/>
        <v/>
      </c>
      <c r="P197" s="204"/>
      <c r="Q197" s="213"/>
      <c r="S197" s="198">
        <f t="shared" si="28"/>
        <v>0</v>
      </c>
      <c r="T197" s="198">
        <f t="shared" si="29"/>
        <v>0</v>
      </c>
      <c r="U197" s="198">
        <f t="shared" si="30"/>
        <v>0</v>
      </c>
      <c r="V197" s="198">
        <f t="shared" si="31"/>
        <v>0</v>
      </c>
      <c r="W197" s="198">
        <f t="shared" si="32"/>
        <v>0</v>
      </c>
      <c r="X197" s="198">
        <f t="shared" si="33"/>
        <v>0</v>
      </c>
      <c r="Y197" s="198">
        <f t="shared" si="34"/>
        <v>0</v>
      </c>
      <c r="Z197" s="198">
        <f t="shared" si="35"/>
        <v>0</v>
      </c>
      <c r="AB197" s="200"/>
    </row>
    <row r="198" spans="1:28" ht="29.25" customHeight="1">
      <c r="A198" s="201"/>
      <c r="B198" s="202">
        <f t="shared" ref="B198:B206" si="42">C197</f>
        <v>8.3333333333333329E-2</v>
      </c>
      <c r="C198" s="202">
        <f t="shared" ref="C198:C206" si="43">B198+1/24</f>
        <v>0.125</v>
      </c>
      <c r="D198" s="203"/>
      <c r="E198" s="204"/>
      <c r="F198" s="215"/>
      <c r="G198" s="215"/>
      <c r="H198" s="214"/>
      <c r="I198" s="207"/>
      <c r="J198" s="207"/>
      <c r="K198" s="208">
        <f t="shared" si="27"/>
        <v>0</v>
      </c>
      <c r="L198" s="209"/>
      <c r="M198" s="210"/>
      <c r="N198" s="211"/>
      <c r="O198" s="212" t="str">
        <f t="shared" si="26"/>
        <v/>
      </c>
      <c r="P198" s="204"/>
      <c r="Q198" s="213"/>
      <c r="S198" s="198">
        <f t="shared" si="28"/>
        <v>0</v>
      </c>
      <c r="T198" s="198">
        <f t="shared" si="29"/>
        <v>0</v>
      </c>
      <c r="U198" s="198">
        <f t="shared" si="30"/>
        <v>0</v>
      </c>
      <c r="V198" s="198">
        <f t="shared" si="31"/>
        <v>0</v>
      </c>
      <c r="W198" s="198">
        <f t="shared" si="32"/>
        <v>0</v>
      </c>
      <c r="X198" s="198">
        <f t="shared" si="33"/>
        <v>0</v>
      </c>
      <c r="Y198" s="198">
        <f t="shared" si="34"/>
        <v>0</v>
      </c>
      <c r="Z198" s="198">
        <f t="shared" si="35"/>
        <v>0</v>
      </c>
      <c r="AB198" s="200"/>
    </row>
    <row r="199" spans="1:28" ht="29.25" customHeight="1">
      <c r="A199" s="201"/>
      <c r="B199" s="202">
        <f t="shared" si="42"/>
        <v>0.125</v>
      </c>
      <c r="C199" s="202">
        <f t="shared" si="43"/>
        <v>0.16666666666666666</v>
      </c>
      <c r="D199" s="203"/>
      <c r="E199" s="204"/>
      <c r="F199" s="215"/>
      <c r="G199" s="215"/>
      <c r="H199" s="214"/>
      <c r="I199" s="207"/>
      <c r="J199" s="207"/>
      <c r="K199" s="208">
        <f t="shared" si="27"/>
        <v>0</v>
      </c>
      <c r="L199" s="209"/>
      <c r="M199" s="210"/>
      <c r="N199" s="211"/>
      <c r="O199" s="212" t="str">
        <f t="shared" si="26"/>
        <v/>
      </c>
      <c r="P199" s="204"/>
      <c r="Q199" s="213"/>
      <c r="S199" s="198">
        <f t="shared" si="28"/>
        <v>0</v>
      </c>
      <c r="T199" s="198">
        <f t="shared" si="29"/>
        <v>0</v>
      </c>
      <c r="U199" s="198">
        <f t="shared" si="30"/>
        <v>0</v>
      </c>
      <c r="V199" s="198">
        <f t="shared" si="31"/>
        <v>0</v>
      </c>
      <c r="W199" s="198">
        <f t="shared" si="32"/>
        <v>0</v>
      </c>
      <c r="X199" s="198">
        <f t="shared" si="33"/>
        <v>0</v>
      </c>
      <c r="Y199" s="198">
        <f t="shared" si="34"/>
        <v>0</v>
      </c>
      <c r="Z199" s="198">
        <f t="shared" si="35"/>
        <v>0</v>
      </c>
      <c r="AB199" s="200"/>
    </row>
    <row r="200" spans="1:28" ht="29.25" customHeight="1">
      <c r="A200" s="201"/>
      <c r="B200" s="202">
        <f t="shared" si="42"/>
        <v>0.16666666666666666</v>
      </c>
      <c r="C200" s="202">
        <f t="shared" si="43"/>
        <v>0.20833333333333331</v>
      </c>
      <c r="D200" s="203"/>
      <c r="E200" s="204"/>
      <c r="F200" s="215"/>
      <c r="G200" s="215"/>
      <c r="H200" s="214"/>
      <c r="I200" s="207"/>
      <c r="J200" s="207"/>
      <c r="K200" s="208">
        <f t="shared" si="27"/>
        <v>0</v>
      </c>
      <c r="L200" s="209"/>
      <c r="M200" s="210"/>
      <c r="N200" s="211"/>
      <c r="O200" s="212" t="str">
        <f t="shared" si="26"/>
        <v/>
      </c>
      <c r="P200" s="204"/>
      <c r="Q200" s="213"/>
      <c r="S200" s="198">
        <f t="shared" si="28"/>
        <v>0</v>
      </c>
      <c r="T200" s="198">
        <f t="shared" si="29"/>
        <v>0</v>
      </c>
      <c r="U200" s="198">
        <f t="shared" si="30"/>
        <v>0</v>
      </c>
      <c r="V200" s="198">
        <f t="shared" si="31"/>
        <v>0</v>
      </c>
      <c r="W200" s="198">
        <f t="shared" si="32"/>
        <v>0</v>
      </c>
      <c r="X200" s="198">
        <f t="shared" si="33"/>
        <v>0</v>
      </c>
      <c r="Y200" s="198">
        <f t="shared" si="34"/>
        <v>0</v>
      </c>
      <c r="Z200" s="198">
        <f t="shared" si="35"/>
        <v>0</v>
      </c>
      <c r="AB200" s="200"/>
    </row>
    <row r="201" spans="1:28" ht="29.25" customHeight="1">
      <c r="A201" s="201"/>
      <c r="B201" s="202">
        <f t="shared" si="42"/>
        <v>0.20833333333333331</v>
      </c>
      <c r="C201" s="202">
        <f t="shared" si="43"/>
        <v>0.24999999999999997</v>
      </c>
      <c r="D201" s="203"/>
      <c r="E201" s="204"/>
      <c r="F201" s="215"/>
      <c r="G201" s="215"/>
      <c r="H201" s="214"/>
      <c r="I201" s="207"/>
      <c r="J201" s="207"/>
      <c r="K201" s="208">
        <f t="shared" si="27"/>
        <v>0</v>
      </c>
      <c r="L201" s="209"/>
      <c r="M201" s="210"/>
      <c r="N201" s="211"/>
      <c r="O201" s="212" t="str">
        <f t="shared" si="26"/>
        <v/>
      </c>
      <c r="P201" s="204"/>
      <c r="Q201" s="213"/>
      <c r="S201" s="198">
        <f t="shared" si="28"/>
        <v>0</v>
      </c>
      <c r="T201" s="198">
        <f t="shared" si="29"/>
        <v>0</v>
      </c>
      <c r="U201" s="198">
        <f t="shared" si="30"/>
        <v>0</v>
      </c>
      <c r="V201" s="198">
        <f t="shared" si="31"/>
        <v>0</v>
      </c>
      <c r="W201" s="198">
        <f t="shared" si="32"/>
        <v>0</v>
      </c>
      <c r="X201" s="198">
        <f t="shared" si="33"/>
        <v>0</v>
      </c>
      <c r="Y201" s="198">
        <f t="shared" si="34"/>
        <v>0</v>
      </c>
      <c r="Z201" s="198">
        <f t="shared" si="35"/>
        <v>0</v>
      </c>
      <c r="AB201" s="200"/>
    </row>
    <row r="202" spans="1:28" ht="29.25" customHeight="1">
      <c r="A202" s="201"/>
      <c r="B202" s="202">
        <f t="shared" si="42"/>
        <v>0.24999999999999997</v>
      </c>
      <c r="C202" s="202">
        <f t="shared" si="43"/>
        <v>0.29166666666666663</v>
      </c>
      <c r="D202" s="203"/>
      <c r="E202" s="216"/>
      <c r="F202" s="215"/>
      <c r="G202" s="215"/>
      <c r="H202" s="214"/>
      <c r="I202" s="207"/>
      <c r="J202" s="207"/>
      <c r="K202" s="208">
        <f t="shared" si="27"/>
        <v>0</v>
      </c>
      <c r="L202" s="209"/>
      <c r="M202" s="210"/>
      <c r="N202" s="211"/>
      <c r="O202" s="212" t="str">
        <f t="shared" si="26"/>
        <v/>
      </c>
      <c r="P202" s="204"/>
      <c r="Q202" s="213"/>
      <c r="S202" s="198">
        <f t="shared" si="28"/>
        <v>0</v>
      </c>
      <c r="T202" s="198">
        <f t="shared" si="29"/>
        <v>0</v>
      </c>
      <c r="U202" s="198">
        <f t="shared" si="30"/>
        <v>0</v>
      </c>
      <c r="V202" s="198">
        <f t="shared" si="31"/>
        <v>0</v>
      </c>
      <c r="W202" s="198">
        <f t="shared" si="32"/>
        <v>0</v>
      </c>
      <c r="X202" s="198">
        <f t="shared" si="33"/>
        <v>0</v>
      </c>
      <c r="Y202" s="198">
        <f t="shared" si="34"/>
        <v>0</v>
      </c>
      <c r="Z202" s="198">
        <f t="shared" si="35"/>
        <v>0</v>
      </c>
      <c r="AB202" s="200"/>
    </row>
    <row r="203" spans="1:28" ht="29.25" customHeight="1">
      <c r="A203" s="201"/>
      <c r="B203" s="202">
        <f t="shared" si="42"/>
        <v>0.29166666666666663</v>
      </c>
      <c r="C203" s="202">
        <f t="shared" si="43"/>
        <v>0.33333333333333331</v>
      </c>
      <c r="D203" s="203"/>
      <c r="E203" s="216"/>
      <c r="F203" s="205"/>
      <c r="G203" s="206"/>
      <c r="H203" s="214"/>
      <c r="I203" s="207"/>
      <c r="J203" s="207"/>
      <c r="K203" s="208">
        <f t="shared" si="27"/>
        <v>0</v>
      </c>
      <c r="L203" s="209"/>
      <c r="M203" s="210"/>
      <c r="N203" s="211"/>
      <c r="O203" s="212" t="str">
        <f t="shared" si="26"/>
        <v/>
      </c>
      <c r="P203" s="204"/>
      <c r="Q203" s="213"/>
      <c r="S203" s="198">
        <f t="shared" si="28"/>
        <v>0</v>
      </c>
      <c r="T203" s="198">
        <f t="shared" si="29"/>
        <v>0</v>
      </c>
      <c r="U203" s="198">
        <f t="shared" si="30"/>
        <v>0</v>
      </c>
      <c r="V203" s="198">
        <f t="shared" si="31"/>
        <v>0</v>
      </c>
      <c r="W203" s="198">
        <f t="shared" si="32"/>
        <v>0</v>
      </c>
      <c r="X203" s="198">
        <f t="shared" si="33"/>
        <v>0</v>
      </c>
      <c r="Y203" s="198">
        <f t="shared" si="34"/>
        <v>0</v>
      </c>
      <c r="Z203" s="198">
        <f t="shared" si="35"/>
        <v>0</v>
      </c>
      <c r="AB203" s="200"/>
    </row>
    <row r="204" spans="1:28" ht="29.25" customHeight="1">
      <c r="A204" s="201"/>
      <c r="B204" s="202">
        <f t="shared" si="42"/>
        <v>0.33333333333333331</v>
      </c>
      <c r="C204" s="202">
        <f t="shared" si="43"/>
        <v>0.375</v>
      </c>
      <c r="D204" s="203"/>
      <c r="E204" s="216"/>
      <c r="F204" s="205"/>
      <c r="G204" s="206"/>
      <c r="H204" s="214"/>
      <c r="I204" s="207"/>
      <c r="J204" s="207"/>
      <c r="K204" s="208">
        <f t="shared" si="27"/>
        <v>0</v>
      </c>
      <c r="L204" s="209"/>
      <c r="M204" s="210"/>
      <c r="N204" s="211"/>
      <c r="O204" s="212" t="str">
        <f t="shared" si="26"/>
        <v/>
      </c>
      <c r="P204" s="204"/>
      <c r="Q204" s="213"/>
      <c r="S204" s="198">
        <f t="shared" si="28"/>
        <v>0</v>
      </c>
      <c r="T204" s="198">
        <f t="shared" si="29"/>
        <v>0</v>
      </c>
      <c r="U204" s="198">
        <f t="shared" si="30"/>
        <v>0</v>
      </c>
      <c r="V204" s="198">
        <f t="shared" si="31"/>
        <v>0</v>
      </c>
      <c r="W204" s="198">
        <f t="shared" si="32"/>
        <v>0</v>
      </c>
      <c r="X204" s="198">
        <f t="shared" si="33"/>
        <v>0</v>
      </c>
      <c r="Y204" s="198">
        <f t="shared" si="34"/>
        <v>0</v>
      </c>
      <c r="Z204" s="198">
        <f t="shared" si="35"/>
        <v>0</v>
      </c>
      <c r="AB204" s="200"/>
    </row>
    <row r="205" spans="1:28" ht="29.25" customHeight="1">
      <c r="A205" s="201"/>
      <c r="B205" s="202">
        <f t="shared" si="42"/>
        <v>0.375</v>
      </c>
      <c r="C205" s="202">
        <f t="shared" si="43"/>
        <v>0.41666666666666669</v>
      </c>
      <c r="D205" s="203"/>
      <c r="E205" s="216"/>
      <c r="F205" s="215"/>
      <c r="G205" s="215"/>
      <c r="H205" s="214"/>
      <c r="I205" s="207"/>
      <c r="J205" s="207"/>
      <c r="K205" s="208">
        <f t="shared" si="27"/>
        <v>0</v>
      </c>
      <c r="L205" s="209"/>
      <c r="M205" s="210"/>
      <c r="N205" s="211"/>
      <c r="O205" s="212" t="str">
        <f t="shared" si="26"/>
        <v/>
      </c>
      <c r="P205" s="204"/>
      <c r="Q205" s="213"/>
      <c r="S205" s="198">
        <f t="shared" si="28"/>
        <v>0</v>
      </c>
      <c r="T205" s="198">
        <f t="shared" si="29"/>
        <v>0</v>
      </c>
      <c r="U205" s="198">
        <f t="shared" si="30"/>
        <v>0</v>
      </c>
      <c r="V205" s="198">
        <f t="shared" si="31"/>
        <v>0</v>
      </c>
      <c r="W205" s="198">
        <f t="shared" si="32"/>
        <v>0</v>
      </c>
      <c r="X205" s="198">
        <f t="shared" si="33"/>
        <v>0</v>
      </c>
      <c r="Y205" s="198">
        <f t="shared" si="34"/>
        <v>0</v>
      </c>
      <c r="Z205" s="198">
        <f t="shared" si="35"/>
        <v>0</v>
      </c>
      <c r="AB205" s="200"/>
    </row>
    <row r="206" spans="1:28" ht="29.25" customHeight="1" thickBot="1">
      <c r="A206" s="218"/>
      <c r="B206" s="219">
        <f t="shared" si="42"/>
        <v>0.41666666666666669</v>
      </c>
      <c r="C206" s="219">
        <f t="shared" si="43"/>
        <v>0.45833333333333337</v>
      </c>
      <c r="D206" s="230"/>
      <c r="E206" s="221"/>
      <c r="F206" s="222"/>
      <c r="G206" s="222"/>
      <c r="H206" s="231"/>
      <c r="I206" s="223"/>
      <c r="J206" s="223"/>
      <c r="K206" s="224">
        <f t="shared" si="27"/>
        <v>0</v>
      </c>
      <c r="L206" s="225"/>
      <c r="M206" s="226"/>
      <c r="N206" s="227"/>
      <c r="O206" s="228" t="str">
        <f t="shared" si="26"/>
        <v/>
      </c>
      <c r="P206" s="228"/>
      <c r="Q206" s="229"/>
      <c r="S206" s="198">
        <f t="shared" si="28"/>
        <v>0</v>
      </c>
      <c r="T206" s="198">
        <f t="shared" si="29"/>
        <v>0</v>
      </c>
      <c r="U206" s="198">
        <f t="shared" si="30"/>
        <v>0</v>
      </c>
      <c r="V206" s="198">
        <f t="shared" si="31"/>
        <v>0</v>
      </c>
      <c r="W206" s="198">
        <f t="shared" si="32"/>
        <v>0</v>
      </c>
      <c r="X206" s="198">
        <f t="shared" si="33"/>
        <v>0</v>
      </c>
      <c r="Y206" s="198">
        <f t="shared" si="34"/>
        <v>0</v>
      </c>
      <c r="Z206" s="198">
        <f t="shared" si="35"/>
        <v>0</v>
      </c>
      <c r="AB206" s="200"/>
    </row>
    <row r="207" spans="1:28" ht="15" hidden="1" customHeight="1">
      <c r="A207" s="232">
        <f>A156</f>
        <v>0</v>
      </c>
      <c r="B207" s="233"/>
      <c r="C207" s="233"/>
      <c r="D207" s="233"/>
      <c r="E207" s="234"/>
      <c r="F207" s="235"/>
      <c r="G207" s="235"/>
      <c r="H207" s="236"/>
      <c r="I207" s="237"/>
      <c r="J207" s="237"/>
      <c r="K207" s="238">
        <f t="shared" si="27"/>
        <v>0</v>
      </c>
      <c r="L207" s="239"/>
      <c r="M207" s="239"/>
      <c r="N207" s="239"/>
      <c r="O207" s="187" t="str">
        <f t="shared" ref="O207:O228" si="44">IF(H207=$V$5,$F$7,"")</f>
        <v/>
      </c>
      <c r="P207" s="240"/>
      <c r="Q207" s="241"/>
      <c r="S207" s="198">
        <f t="shared" si="28"/>
        <v>0</v>
      </c>
      <c r="T207" s="198">
        <f t="shared" si="29"/>
        <v>0</v>
      </c>
      <c r="U207" s="198">
        <f t="shared" si="30"/>
        <v>0</v>
      </c>
      <c r="V207" s="198">
        <f t="shared" si="31"/>
        <v>0</v>
      </c>
      <c r="W207" s="198">
        <f t="shared" si="32"/>
        <v>0</v>
      </c>
      <c r="X207" s="198">
        <f t="shared" si="33"/>
        <v>0</v>
      </c>
      <c r="Y207" s="198">
        <f t="shared" si="34"/>
        <v>0</v>
      </c>
      <c r="Z207" s="198">
        <f t="shared" si="35"/>
        <v>0</v>
      </c>
      <c r="AB207" s="200"/>
    </row>
    <row r="208" spans="1:28" ht="15" hidden="1" customHeight="1">
      <c r="A208" s="232"/>
      <c r="B208" s="242"/>
      <c r="C208" s="242"/>
      <c r="D208" s="242"/>
      <c r="E208" s="243"/>
      <c r="F208" s="244"/>
      <c r="G208" s="244"/>
      <c r="H208" s="214"/>
      <c r="I208" s="207"/>
      <c r="J208" s="207"/>
      <c r="K208" s="245">
        <f t="shared" si="27"/>
        <v>0</v>
      </c>
      <c r="L208" s="246"/>
      <c r="M208" s="246"/>
      <c r="N208" s="246"/>
      <c r="O208" s="187" t="str">
        <f t="shared" si="44"/>
        <v/>
      </c>
      <c r="P208" s="247"/>
      <c r="Q208" s="248"/>
      <c r="S208" s="198">
        <f t="shared" si="28"/>
        <v>0</v>
      </c>
      <c r="T208" s="198">
        <f t="shared" si="29"/>
        <v>0</v>
      </c>
      <c r="U208" s="198">
        <f t="shared" si="30"/>
        <v>0</v>
      </c>
      <c r="V208" s="198">
        <f t="shared" si="31"/>
        <v>0</v>
      </c>
      <c r="W208" s="198">
        <f t="shared" si="32"/>
        <v>0</v>
      </c>
      <c r="X208" s="198">
        <f t="shared" si="33"/>
        <v>0</v>
      </c>
      <c r="Y208" s="198">
        <f t="shared" si="34"/>
        <v>0</v>
      </c>
      <c r="Z208" s="198">
        <f t="shared" si="35"/>
        <v>0</v>
      </c>
      <c r="AB208" s="200"/>
    </row>
    <row r="209" spans="1:28" ht="15" hidden="1" customHeight="1">
      <c r="A209" s="232"/>
      <c r="B209" s="242"/>
      <c r="C209" s="242"/>
      <c r="D209" s="242"/>
      <c r="E209" s="243"/>
      <c r="F209" s="244"/>
      <c r="G209" s="244"/>
      <c r="H209" s="214"/>
      <c r="I209" s="207"/>
      <c r="J209" s="207"/>
      <c r="K209" s="245">
        <f t="shared" si="27"/>
        <v>0</v>
      </c>
      <c r="L209" s="246"/>
      <c r="M209" s="246"/>
      <c r="N209" s="246"/>
      <c r="O209" s="187" t="str">
        <f t="shared" si="44"/>
        <v/>
      </c>
      <c r="P209" s="247"/>
      <c r="Q209" s="248"/>
      <c r="S209" s="198">
        <f t="shared" si="28"/>
        <v>0</v>
      </c>
      <c r="T209" s="198">
        <f t="shared" si="29"/>
        <v>0</v>
      </c>
      <c r="U209" s="198">
        <f t="shared" si="30"/>
        <v>0</v>
      </c>
      <c r="V209" s="198">
        <f t="shared" si="31"/>
        <v>0</v>
      </c>
      <c r="W209" s="198">
        <f t="shared" si="32"/>
        <v>0</v>
      </c>
      <c r="X209" s="198">
        <f t="shared" si="33"/>
        <v>0</v>
      </c>
      <c r="Y209" s="198">
        <f t="shared" si="34"/>
        <v>0</v>
      </c>
      <c r="Z209" s="198">
        <f t="shared" si="35"/>
        <v>0</v>
      </c>
      <c r="AB209" s="200"/>
    </row>
    <row r="210" spans="1:28" ht="15" hidden="1" customHeight="1">
      <c r="A210" s="232"/>
      <c r="B210" s="242"/>
      <c r="C210" s="242"/>
      <c r="D210" s="242"/>
      <c r="E210" s="243"/>
      <c r="F210" s="244"/>
      <c r="G210" s="244"/>
      <c r="H210" s="214"/>
      <c r="I210" s="207"/>
      <c r="J210" s="207"/>
      <c r="K210" s="245">
        <f t="shared" si="27"/>
        <v>0</v>
      </c>
      <c r="L210" s="246"/>
      <c r="M210" s="246"/>
      <c r="N210" s="246"/>
      <c r="O210" s="187" t="str">
        <f t="shared" si="44"/>
        <v/>
      </c>
      <c r="P210" s="247"/>
      <c r="Q210" s="248"/>
      <c r="S210" s="198">
        <f t="shared" si="28"/>
        <v>0</v>
      </c>
      <c r="T210" s="198">
        <f t="shared" si="29"/>
        <v>0</v>
      </c>
      <c r="U210" s="198">
        <f t="shared" si="30"/>
        <v>0</v>
      </c>
      <c r="V210" s="198">
        <f t="shared" si="31"/>
        <v>0</v>
      </c>
      <c r="W210" s="198">
        <f t="shared" si="32"/>
        <v>0</v>
      </c>
      <c r="X210" s="198">
        <f t="shared" si="33"/>
        <v>0</v>
      </c>
      <c r="Y210" s="198">
        <f t="shared" si="34"/>
        <v>0</v>
      </c>
      <c r="Z210" s="198">
        <f t="shared" si="35"/>
        <v>0</v>
      </c>
      <c r="AB210" s="200"/>
    </row>
    <row r="211" spans="1:28" ht="15" hidden="1" customHeight="1">
      <c r="A211" s="232"/>
      <c r="B211" s="242"/>
      <c r="C211" s="242"/>
      <c r="D211" s="242"/>
      <c r="E211" s="243"/>
      <c r="F211" s="244"/>
      <c r="G211" s="244"/>
      <c r="H211" s="214"/>
      <c r="I211" s="207"/>
      <c r="J211" s="207"/>
      <c r="K211" s="245">
        <f t="shared" si="27"/>
        <v>0</v>
      </c>
      <c r="L211" s="246"/>
      <c r="M211" s="246"/>
      <c r="N211" s="246"/>
      <c r="O211" s="187" t="str">
        <f t="shared" si="44"/>
        <v/>
      </c>
      <c r="P211" s="247"/>
      <c r="Q211" s="248"/>
      <c r="S211" s="198">
        <f t="shared" si="28"/>
        <v>0</v>
      </c>
      <c r="T211" s="198">
        <f t="shared" si="29"/>
        <v>0</v>
      </c>
      <c r="U211" s="198">
        <f t="shared" si="30"/>
        <v>0</v>
      </c>
      <c r="V211" s="198">
        <f t="shared" si="31"/>
        <v>0</v>
      </c>
      <c r="W211" s="198">
        <f t="shared" si="32"/>
        <v>0</v>
      </c>
      <c r="X211" s="198">
        <f t="shared" si="33"/>
        <v>0</v>
      </c>
      <c r="Y211" s="198">
        <f t="shared" si="34"/>
        <v>0</v>
      </c>
      <c r="Z211" s="198">
        <f t="shared" si="35"/>
        <v>0</v>
      </c>
      <c r="AB211" s="200"/>
    </row>
    <row r="212" spans="1:28" ht="15" hidden="1" customHeight="1">
      <c r="A212" s="232"/>
      <c r="B212" s="242"/>
      <c r="C212" s="242"/>
      <c r="D212" s="242"/>
      <c r="E212" s="243"/>
      <c r="F212" s="244"/>
      <c r="G212" s="244"/>
      <c r="H212" s="214"/>
      <c r="I212" s="207"/>
      <c r="J212" s="207"/>
      <c r="K212" s="245">
        <f t="shared" si="27"/>
        <v>0</v>
      </c>
      <c r="L212" s="246"/>
      <c r="M212" s="246"/>
      <c r="N212" s="246"/>
      <c r="O212" s="187" t="str">
        <f t="shared" si="44"/>
        <v/>
      </c>
      <c r="P212" s="247"/>
      <c r="Q212" s="248"/>
      <c r="S212" s="198">
        <f t="shared" si="28"/>
        <v>0</v>
      </c>
      <c r="T212" s="198">
        <f t="shared" si="29"/>
        <v>0</v>
      </c>
      <c r="U212" s="198">
        <f t="shared" si="30"/>
        <v>0</v>
      </c>
      <c r="V212" s="198">
        <f t="shared" si="31"/>
        <v>0</v>
      </c>
      <c r="W212" s="198">
        <f t="shared" si="32"/>
        <v>0</v>
      </c>
      <c r="X212" s="198">
        <f t="shared" si="33"/>
        <v>0</v>
      </c>
      <c r="Y212" s="198">
        <f t="shared" si="34"/>
        <v>0</v>
      </c>
      <c r="Z212" s="198">
        <f t="shared" si="35"/>
        <v>0</v>
      </c>
      <c r="AB212" s="200"/>
    </row>
    <row r="213" spans="1:28" ht="15" hidden="1" customHeight="1">
      <c r="A213" s="232"/>
      <c r="B213" s="242"/>
      <c r="C213" s="242"/>
      <c r="D213" s="242"/>
      <c r="E213" s="243"/>
      <c r="F213" s="244"/>
      <c r="G213" s="244"/>
      <c r="H213" s="214"/>
      <c r="I213" s="207"/>
      <c r="J213" s="207"/>
      <c r="K213" s="245">
        <f t="shared" si="27"/>
        <v>0</v>
      </c>
      <c r="L213" s="246"/>
      <c r="M213" s="246"/>
      <c r="N213" s="246"/>
      <c r="O213" s="187" t="str">
        <f t="shared" si="44"/>
        <v/>
      </c>
      <c r="P213" s="247"/>
      <c r="Q213" s="248"/>
      <c r="S213" s="198">
        <f t="shared" si="28"/>
        <v>0</v>
      </c>
      <c r="T213" s="198">
        <f t="shared" si="29"/>
        <v>0</v>
      </c>
      <c r="U213" s="198">
        <f t="shared" si="30"/>
        <v>0</v>
      </c>
      <c r="V213" s="198">
        <f t="shared" si="31"/>
        <v>0</v>
      </c>
      <c r="W213" s="198">
        <f t="shared" si="32"/>
        <v>0</v>
      </c>
      <c r="X213" s="198">
        <f t="shared" si="33"/>
        <v>0</v>
      </c>
      <c r="Y213" s="198">
        <f t="shared" si="34"/>
        <v>0</v>
      </c>
      <c r="Z213" s="198">
        <f t="shared" si="35"/>
        <v>0</v>
      </c>
      <c r="AB213" s="200"/>
    </row>
    <row r="214" spans="1:28" ht="15" hidden="1" customHeight="1">
      <c r="A214" s="232"/>
      <c r="B214" s="242"/>
      <c r="C214" s="242"/>
      <c r="D214" s="242"/>
      <c r="E214" s="243"/>
      <c r="F214" s="244"/>
      <c r="G214" s="244"/>
      <c r="H214" s="214"/>
      <c r="I214" s="207"/>
      <c r="J214" s="207"/>
      <c r="K214" s="245">
        <f t="shared" si="27"/>
        <v>0</v>
      </c>
      <c r="L214" s="246"/>
      <c r="M214" s="246"/>
      <c r="N214" s="246"/>
      <c r="O214" s="187" t="str">
        <f t="shared" si="44"/>
        <v/>
      </c>
      <c r="P214" s="247"/>
      <c r="Q214" s="248"/>
      <c r="S214" s="198">
        <f t="shared" si="28"/>
        <v>0</v>
      </c>
      <c r="T214" s="198">
        <f t="shared" si="29"/>
        <v>0</v>
      </c>
      <c r="U214" s="198">
        <f t="shared" si="30"/>
        <v>0</v>
      </c>
      <c r="V214" s="198">
        <f t="shared" si="31"/>
        <v>0</v>
      </c>
      <c r="W214" s="198">
        <f t="shared" si="32"/>
        <v>0</v>
      </c>
      <c r="X214" s="198">
        <f t="shared" si="33"/>
        <v>0</v>
      </c>
      <c r="Y214" s="198">
        <f t="shared" si="34"/>
        <v>0</v>
      </c>
      <c r="Z214" s="198">
        <f t="shared" si="35"/>
        <v>0</v>
      </c>
      <c r="AB214" s="200"/>
    </row>
    <row r="215" spans="1:28" ht="15" hidden="1" customHeight="1">
      <c r="A215" s="232"/>
      <c r="B215" s="242"/>
      <c r="C215" s="242"/>
      <c r="D215" s="242"/>
      <c r="E215" s="243"/>
      <c r="F215" s="244"/>
      <c r="G215" s="244"/>
      <c r="H215" s="214"/>
      <c r="I215" s="207"/>
      <c r="J215" s="207"/>
      <c r="K215" s="245">
        <f t="shared" si="27"/>
        <v>0</v>
      </c>
      <c r="L215" s="246"/>
      <c r="M215" s="246"/>
      <c r="N215" s="246"/>
      <c r="O215" s="187" t="str">
        <f t="shared" si="44"/>
        <v/>
      </c>
      <c r="P215" s="247"/>
      <c r="Q215" s="248"/>
      <c r="S215" s="198">
        <f t="shared" si="28"/>
        <v>0</v>
      </c>
      <c r="T215" s="198">
        <f t="shared" si="29"/>
        <v>0</v>
      </c>
      <c r="U215" s="198">
        <f t="shared" si="30"/>
        <v>0</v>
      </c>
      <c r="V215" s="198">
        <f t="shared" si="31"/>
        <v>0</v>
      </c>
      <c r="W215" s="198">
        <f t="shared" si="32"/>
        <v>0</v>
      </c>
      <c r="X215" s="198">
        <f t="shared" si="33"/>
        <v>0</v>
      </c>
      <c r="Y215" s="198">
        <f t="shared" si="34"/>
        <v>0</v>
      </c>
      <c r="Z215" s="198">
        <f t="shared" si="35"/>
        <v>0</v>
      </c>
      <c r="AB215" s="200"/>
    </row>
    <row r="216" spans="1:28" ht="15" hidden="1" customHeight="1" thickBot="1">
      <c r="A216" s="232"/>
      <c r="B216" s="242"/>
      <c r="C216" s="242"/>
      <c r="D216" s="242"/>
      <c r="E216" s="243"/>
      <c r="F216" s="244"/>
      <c r="G216" s="244"/>
      <c r="H216" s="249"/>
      <c r="I216" s="207"/>
      <c r="J216" s="207"/>
      <c r="K216" s="245">
        <f t="shared" si="27"/>
        <v>0</v>
      </c>
      <c r="L216" s="246"/>
      <c r="M216" s="246"/>
      <c r="N216" s="246"/>
      <c r="O216" s="187" t="str">
        <f t="shared" si="44"/>
        <v/>
      </c>
      <c r="P216" s="247"/>
      <c r="Q216" s="248"/>
      <c r="S216" s="198">
        <f t="shared" si="28"/>
        <v>0</v>
      </c>
      <c r="T216" s="198">
        <f t="shared" si="29"/>
        <v>0</v>
      </c>
      <c r="U216" s="198">
        <f t="shared" si="30"/>
        <v>0</v>
      </c>
      <c r="V216" s="198">
        <f t="shared" si="31"/>
        <v>0</v>
      </c>
      <c r="W216" s="198">
        <f t="shared" si="32"/>
        <v>0</v>
      </c>
      <c r="X216" s="198">
        <f t="shared" si="33"/>
        <v>0</v>
      </c>
      <c r="Y216" s="198">
        <f t="shared" si="34"/>
        <v>0</v>
      </c>
      <c r="Z216" s="198">
        <f t="shared" si="35"/>
        <v>0</v>
      </c>
      <c r="AB216" s="200"/>
    </row>
    <row r="217" spans="1:28" ht="15" hidden="1" customHeight="1" thickBot="1">
      <c r="A217" s="250"/>
      <c r="B217" s="242"/>
      <c r="C217" s="242"/>
      <c r="D217" s="242"/>
      <c r="E217" s="243"/>
      <c r="F217" s="244"/>
      <c r="G217" s="244"/>
      <c r="H217" s="249"/>
      <c r="I217" s="207"/>
      <c r="J217" s="207"/>
      <c r="K217" s="245">
        <f t="shared" si="27"/>
        <v>0</v>
      </c>
      <c r="L217" s="246"/>
      <c r="M217" s="246"/>
      <c r="N217" s="246"/>
      <c r="O217" s="187" t="str">
        <f t="shared" si="44"/>
        <v/>
      </c>
      <c r="P217" s="247"/>
      <c r="Q217" s="248"/>
      <c r="S217" s="198">
        <f t="shared" si="28"/>
        <v>0</v>
      </c>
      <c r="T217" s="198">
        <f t="shared" si="29"/>
        <v>0</v>
      </c>
      <c r="U217" s="198">
        <f t="shared" si="30"/>
        <v>0</v>
      </c>
      <c r="V217" s="198">
        <f t="shared" si="31"/>
        <v>0</v>
      </c>
      <c r="W217" s="198">
        <f t="shared" si="32"/>
        <v>0</v>
      </c>
      <c r="X217" s="198">
        <f t="shared" si="33"/>
        <v>0</v>
      </c>
      <c r="Y217" s="198">
        <f t="shared" si="34"/>
        <v>0</v>
      </c>
      <c r="Z217" s="198">
        <f t="shared" si="35"/>
        <v>0</v>
      </c>
      <c r="AB217" s="200"/>
    </row>
    <row r="218" spans="1:28" ht="15" hidden="1" customHeight="1" thickBot="1">
      <c r="A218" s="251">
        <f>A157</f>
        <v>0</v>
      </c>
      <c r="B218" s="242"/>
      <c r="C218" s="242"/>
      <c r="D218" s="242"/>
      <c r="E218" s="252"/>
      <c r="F218" s="253"/>
      <c r="G218" s="253"/>
      <c r="H218" s="254"/>
      <c r="I218" s="255"/>
      <c r="J218" s="255"/>
      <c r="K218" s="256">
        <f t="shared" si="27"/>
        <v>0</v>
      </c>
      <c r="L218" s="257"/>
      <c r="M218" s="257"/>
      <c r="N218" s="257"/>
      <c r="O218" s="187" t="str">
        <f t="shared" si="44"/>
        <v/>
      </c>
      <c r="P218" s="258"/>
      <c r="Q218" s="259"/>
      <c r="S218" s="198">
        <f t="shared" si="28"/>
        <v>0</v>
      </c>
      <c r="T218" s="198">
        <f t="shared" si="29"/>
        <v>0</v>
      </c>
      <c r="U218" s="198">
        <f t="shared" si="30"/>
        <v>0</v>
      </c>
      <c r="V218" s="198">
        <f t="shared" si="31"/>
        <v>0</v>
      </c>
      <c r="W218" s="198">
        <f t="shared" si="32"/>
        <v>0</v>
      </c>
      <c r="X218" s="198">
        <f t="shared" si="33"/>
        <v>0</v>
      </c>
      <c r="Y218" s="198">
        <f t="shared" si="34"/>
        <v>0</v>
      </c>
      <c r="Z218" s="198">
        <f t="shared" si="35"/>
        <v>0</v>
      </c>
      <c r="AB218" s="200"/>
    </row>
    <row r="219" spans="1:28" ht="15" hidden="1" customHeight="1" thickBot="1">
      <c r="A219" s="232"/>
      <c r="B219" s="242"/>
      <c r="C219" s="242"/>
      <c r="D219" s="242"/>
      <c r="E219" s="260"/>
      <c r="F219" s="261"/>
      <c r="G219" s="261"/>
      <c r="H219" s="262"/>
      <c r="I219" s="263"/>
      <c r="J219" s="263"/>
      <c r="K219" s="245">
        <f t="shared" si="27"/>
        <v>0</v>
      </c>
      <c r="L219" s="264"/>
      <c r="M219" s="264"/>
      <c r="N219" s="264"/>
      <c r="O219" s="187" t="str">
        <f t="shared" si="44"/>
        <v/>
      </c>
      <c r="P219" s="265"/>
      <c r="Q219" s="266"/>
      <c r="S219" s="198">
        <f t="shared" si="28"/>
        <v>0</v>
      </c>
      <c r="T219" s="198">
        <f t="shared" si="29"/>
        <v>0</v>
      </c>
      <c r="U219" s="198">
        <f t="shared" si="30"/>
        <v>0</v>
      </c>
      <c r="V219" s="198">
        <f t="shared" si="31"/>
        <v>0</v>
      </c>
      <c r="W219" s="198">
        <f t="shared" si="32"/>
        <v>0</v>
      </c>
      <c r="X219" s="198">
        <f t="shared" si="33"/>
        <v>0</v>
      </c>
      <c r="Y219" s="198">
        <f t="shared" si="34"/>
        <v>0</v>
      </c>
      <c r="Z219" s="198">
        <f t="shared" si="35"/>
        <v>0</v>
      </c>
      <c r="AB219" s="200"/>
    </row>
    <row r="220" spans="1:28" ht="15" hidden="1" customHeight="1" thickBot="1">
      <c r="A220" s="232"/>
      <c r="B220" s="242"/>
      <c r="C220" s="242"/>
      <c r="D220" s="242"/>
      <c r="E220" s="260"/>
      <c r="F220" s="261"/>
      <c r="G220" s="261"/>
      <c r="H220" s="262"/>
      <c r="I220" s="263"/>
      <c r="J220" s="263"/>
      <c r="K220" s="245">
        <f t="shared" si="27"/>
        <v>0</v>
      </c>
      <c r="L220" s="264"/>
      <c r="M220" s="264"/>
      <c r="N220" s="264"/>
      <c r="O220" s="187" t="str">
        <f t="shared" si="44"/>
        <v/>
      </c>
      <c r="P220" s="265"/>
      <c r="Q220" s="266"/>
      <c r="S220" s="198">
        <f t="shared" si="28"/>
        <v>0</v>
      </c>
      <c r="T220" s="198">
        <f t="shared" si="29"/>
        <v>0</v>
      </c>
      <c r="U220" s="198">
        <f t="shared" si="30"/>
        <v>0</v>
      </c>
      <c r="V220" s="198">
        <f t="shared" si="31"/>
        <v>0</v>
      </c>
      <c r="W220" s="198">
        <f t="shared" si="32"/>
        <v>0</v>
      </c>
      <c r="X220" s="198">
        <f t="shared" si="33"/>
        <v>0</v>
      </c>
      <c r="Y220" s="198">
        <f t="shared" si="34"/>
        <v>0</v>
      </c>
      <c r="Z220" s="198">
        <f t="shared" si="35"/>
        <v>0</v>
      </c>
      <c r="AB220" s="200"/>
    </row>
    <row r="221" spans="1:28" ht="15" hidden="1" customHeight="1" thickBot="1">
      <c r="A221" s="232"/>
      <c r="B221" s="242"/>
      <c r="C221" s="242"/>
      <c r="D221" s="242"/>
      <c r="E221" s="260"/>
      <c r="F221" s="261"/>
      <c r="G221" s="261"/>
      <c r="H221" s="262"/>
      <c r="I221" s="263"/>
      <c r="J221" s="263"/>
      <c r="K221" s="245">
        <f t="shared" si="27"/>
        <v>0</v>
      </c>
      <c r="L221" s="264"/>
      <c r="M221" s="264"/>
      <c r="N221" s="264"/>
      <c r="O221" s="187" t="str">
        <f t="shared" si="44"/>
        <v/>
      </c>
      <c r="P221" s="265"/>
      <c r="Q221" s="266"/>
      <c r="S221" s="198">
        <f t="shared" si="28"/>
        <v>0</v>
      </c>
      <c r="T221" s="198">
        <f t="shared" si="29"/>
        <v>0</v>
      </c>
      <c r="U221" s="198">
        <f t="shared" si="30"/>
        <v>0</v>
      </c>
      <c r="V221" s="198">
        <f t="shared" si="31"/>
        <v>0</v>
      </c>
      <c r="W221" s="198">
        <f t="shared" si="32"/>
        <v>0</v>
      </c>
      <c r="X221" s="198">
        <f t="shared" si="33"/>
        <v>0</v>
      </c>
      <c r="Y221" s="198">
        <f t="shared" si="34"/>
        <v>0</v>
      </c>
      <c r="Z221" s="198">
        <f t="shared" si="35"/>
        <v>0</v>
      </c>
      <c r="AB221" s="200"/>
    </row>
    <row r="222" spans="1:28" ht="15" hidden="1" customHeight="1" thickBot="1">
      <c r="A222" s="232"/>
      <c r="B222" s="242"/>
      <c r="C222" s="242"/>
      <c r="D222" s="242"/>
      <c r="E222" s="260"/>
      <c r="F222" s="261"/>
      <c r="G222" s="261"/>
      <c r="H222" s="262"/>
      <c r="I222" s="263"/>
      <c r="J222" s="263"/>
      <c r="K222" s="245">
        <f t="shared" si="27"/>
        <v>0</v>
      </c>
      <c r="L222" s="264"/>
      <c r="M222" s="264"/>
      <c r="N222" s="264"/>
      <c r="O222" s="187" t="str">
        <f t="shared" si="44"/>
        <v/>
      </c>
      <c r="P222" s="265"/>
      <c r="Q222" s="266"/>
      <c r="S222" s="198">
        <f t="shared" si="28"/>
        <v>0</v>
      </c>
      <c r="T222" s="198">
        <f t="shared" si="29"/>
        <v>0</v>
      </c>
      <c r="U222" s="198">
        <f t="shared" si="30"/>
        <v>0</v>
      </c>
      <c r="V222" s="198">
        <f t="shared" si="31"/>
        <v>0</v>
      </c>
      <c r="W222" s="198">
        <f t="shared" si="32"/>
        <v>0</v>
      </c>
      <c r="X222" s="198">
        <f t="shared" si="33"/>
        <v>0</v>
      </c>
      <c r="Y222" s="198">
        <f t="shared" si="34"/>
        <v>0</v>
      </c>
      <c r="Z222" s="198">
        <f t="shared" si="35"/>
        <v>0</v>
      </c>
      <c r="AB222" s="200"/>
    </row>
    <row r="223" spans="1:28" ht="15" hidden="1" customHeight="1" thickBot="1">
      <c r="A223" s="232"/>
      <c r="B223" s="242"/>
      <c r="C223" s="242"/>
      <c r="D223" s="242"/>
      <c r="E223" s="260"/>
      <c r="F223" s="261"/>
      <c r="G223" s="261"/>
      <c r="H223" s="262"/>
      <c r="I223" s="263"/>
      <c r="J223" s="263"/>
      <c r="K223" s="245">
        <f t="shared" si="27"/>
        <v>0</v>
      </c>
      <c r="L223" s="264"/>
      <c r="M223" s="264"/>
      <c r="N223" s="264"/>
      <c r="O223" s="187" t="str">
        <f t="shared" si="44"/>
        <v/>
      </c>
      <c r="P223" s="265"/>
      <c r="Q223" s="266"/>
      <c r="S223" s="198">
        <f t="shared" si="28"/>
        <v>0</v>
      </c>
      <c r="T223" s="198">
        <f t="shared" si="29"/>
        <v>0</v>
      </c>
      <c r="U223" s="198">
        <f t="shared" si="30"/>
        <v>0</v>
      </c>
      <c r="V223" s="198">
        <f t="shared" si="31"/>
        <v>0</v>
      </c>
      <c r="W223" s="198">
        <f t="shared" si="32"/>
        <v>0</v>
      </c>
      <c r="X223" s="198">
        <f t="shared" si="33"/>
        <v>0</v>
      </c>
      <c r="Y223" s="198">
        <f t="shared" si="34"/>
        <v>0</v>
      </c>
      <c r="Z223" s="198">
        <f t="shared" si="35"/>
        <v>0</v>
      </c>
      <c r="AB223" s="200"/>
    </row>
    <row r="224" spans="1:28" ht="15" hidden="1" customHeight="1" thickBot="1">
      <c r="A224" s="232"/>
      <c r="B224" s="242"/>
      <c r="C224" s="242"/>
      <c r="D224" s="242"/>
      <c r="E224" s="260"/>
      <c r="F224" s="261"/>
      <c r="G224" s="261"/>
      <c r="H224" s="262"/>
      <c r="I224" s="263"/>
      <c r="J224" s="263"/>
      <c r="K224" s="245">
        <f t="shared" si="27"/>
        <v>0</v>
      </c>
      <c r="L224" s="264"/>
      <c r="M224" s="264"/>
      <c r="N224" s="264"/>
      <c r="O224" s="187" t="str">
        <f t="shared" si="44"/>
        <v/>
      </c>
      <c r="P224" s="265"/>
      <c r="Q224" s="266"/>
      <c r="S224" s="198">
        <f t="shared" si="28"/>
        <v>0</v>
      </c>
      <c r="T224" s="198">
        <f t="shared" si="29"/>
        <v>0</v>
      </c>
      <c r="U224" s="198">
        <f t="shared" si="30"/>
        <v>0</v>
      </c>
      <c r="V224" s="198">
        <f t="shared" si="31"/>
        <v>0</v>
      </c>
      <c r="W224" s="198">
        <f t="shared" si="32"/>
        <v>0</v>
      </c>
      <c r="X224" s="198">
        <f t="shared" si="33"/>
        <v>0</v>
      </c>
      <c r="Y224" s="198">
        <f t="shared" si="34"/>
        <v>0</v>
      </c>
      <c r="Z224" s="198">
        <f t="shared" si="35"/>
        <v>0</v>
      </c>
      <c r="AB224" s="200"/>
    </row>
    <row r="225" spans="1:28" ht="15" hidden="1" customHeight="1" thickBot="1">
      <c r="A225" s="232"/>
      <c r="B225" s="242"/>
      <c r="C225" s="242"/>
      <c r="D225" s="242"/>
      <c r="E225" s="260"/>
      <c r="F225" s="261"/>
      <c r="G225" s="261"/>
      <c r="H225" s="262"/>
      <c r="I225" s="263"/>
      <c r="J225" s="263"/>
      <c r="K225" s="245">
        <f t="shared" si="27"/>
        <v>0</v>
      </c>
      <c r="L225" s="264"/>
      <c r="M225" s="264"/>
      <c r="N225" s="264"/>
      <c r="O225" s="187" t="str">
        <f t="shared" si="44"/>
        <v/>
      </c>
      <c r="P225" s="265"/>
      <c r="Q225" s="266"/>
      <c r="S225" s="198">
        <f t="shared" si="28"/>
        <v>0</v>
      </c>
      <c r="T225" s="198">
        <f t="shared" si="29"/>
        <v>0</v>
      </c>
      <c r="U225" s="198">
        <f t="shared" si="30"/>
        <v>0</v>
      </c>
      <c r="V225" s="198">
        <f t="shared" si="31"/>
        <v>0</v>
      </c>
      <c r="W225" s="198">
        <f t="shared" si="32"/>
        <v>0</v>
      </c>
      <c r="X225" s="198">
        <f t="shared" si="33"/>
        <v>0</v>
      </c>
      <c r="Y225" s="198">
        <f t="shared" si="34"/>
        <v>0</v>
      </c>
      <c r="Z225" s="198">
        <f t="shared" si="35"/>
        <v>0</v>
      </c>
      <c r="AB225" s="200"/>
    </row>
    <row r="226" spans="1:28" ht="15" hidden="1" customHeight="1" thickBot="1">
      <c r="A226" s="232"/>
      <c r="B226" s="242"/>
      <c r="C226" s="242"/>
      <c r="D226" s="242"/>
      <c r="E226" s="260"/>
      <c r="F226" s="261"/>
      <c r="G226" s="261"/>
      <c r="H226" s="262"/>
      <c r="I226" s="263"/>
      <c r="J226" s="263"/>
      <c r="K226" s="245">
        <f t="shared" si="27"/>
        <v>0</v>
      </c>
      <c r="L226" s="264"/>
      <c r="M226" s="264"/>
      <c r="N226" s="264"/>
      <c r="O226" s="187" t="str">
        <f t="shared" si="44"/>
        <v/>
      </c>
      <c r="P226" s="265"/>
      <c r="Q226" s="266"/>
      <c r="S226" s="198">
        <f t="shared" si="28"/>
        <v>0</v>
      </c>
      <c r="T226" s="198">
        <f t="shared" si="29"/>
        <v>0</v>
      </c>
      <c r="U226" s="198">
        <f t="shared" si="30"/>
        <v>0</v>
      </c>
      <c r="V226" s="198">
        <f t="shared" si="31"/>
        <v>0</v>
      </c>
      <c r="W226" s="198">
        <f t="shared" si="32"/>
        <v>0</v>
      </c>
      <c r="X226" s="198">
        <f t="shared" si="33"/>
        <v>0</v>
      </c>
      <c r="Y226" s="198">
        <f t="shared" si="34"/>
        <v>0</v>
      </c>
      <c r="Z226" s="198">
        <f t="shared" si="35"/>
        <v>0</v>
      </c>
      <c r="AB226" s="200"/>
    </row>
    <row r="227" spans="1:28" ht="15" hidden="1" customHeight="1" thickBot="1">
      <c r="A227" s="232"/>
      <c r="B227" s="242"/>
      <c r="C227" s="242"/>
      <c r="D227" s="242"/>
      <c r="E227" s="260"/>
      <c r="F227" s="261"/>
      <c r="G227" s="261"/>
      <c r="H227" s="267"/>
      <c r="I227" s="263"/>
      <c r="J227" s="263"/>
      <c r="K227" s="245">
        <f>(J227-I227+(J227&lt;I227))*24*60</f>
        <v>0</v>
      </c>
      <c r="L227" s="264"/>
      <c r="M227" s="264"/>
      <c r="N227" s="264"/>
      <c r="O227" s="187" t="str">
        <f t="shared" si="44"/>
        <v/>
      </c>
      <c r="P227" s="265"/>
      <c r="Q227" s="266"/>
      <c r="S227" s="198">
        <f>IF($H227="ПЛАНОВЫЕ",$K227,0)</f>
        <v>0</v>
      </c>
      <c r="T227" s="198">
        <f>IF($H227="ПРОИЗВОДСТВЕННЫЕ",$K227,0)</f>
        <v>0</v>
      </c>
      <c r="U227" s="198">
        <f>IF($H227="ТЕХНИЧЕСКИЕ",$K227,0)</f>
        <v>0</v>
      </c>
      <c r="V227" s="198">
        <f>IF($H227="ТЕХНОЛОГИЧЕСКИЕ",$K227,0)</f>
        <v>0</v>
      </c>
      <c r="W227" s="198">
        <f>IF($H227="ЛАБОРАТОРНЫЕ",$K227,0)</f>
        <v>0</v>
      </c>
      <c r="X227" s="198">
        <f>IF($H227="СЫРЬЕВЫЕ",$K227,0)</f>
        <v>0</v>
      </c>
      <c r="Y227" s="198">
        <f>IF($H227="ЛОГИСТИЧЕСКИЕ",$K227,0)</f>
        <v>0</v>
      </c>
      <c r="Z227" s="198">
        <f>IF($H227="ОБЩЕЗАВОДСКИЕ",$K227,0)</f>
        <v>0</v>
      </c>
      <c r="AB227" s="200"/>
    </row>
    <row r="228" spans="1:28" ht="15" hidden="1" customHeight="1" thickBot="1">
      <c r="A228" s="232"/>
      <c r="B228" s="242"/>
      <c r="C228" s="242"/>
      <c r="D228" s="242"/>
      <c r="E228" s="260"/>
      <c r="F228" s="261"/>
      <c r="G228" s="261"/>
      <c r="H228" s="267"/>
      <c r="I228" s="263"/>
      <c r="J228" s="263"/>
      <c r="K228" s="245">
        <f>(J228-I228+(J228&lt;I228))*24*60</f>
        <v>0</v>
      </c>
      <c r="L228" s="264"/>
      <c r="M228" s="264"/>
      <c r="N228" s="264"/>
      <c r="O228" s="187" t="str">
        <f t="shared" si="44"/>
        <v/>
      </c>
      <c r="P228" s="265"/>
      <c r="Q228" s="266"/>
      <c r="S228" s="198">
        <f>IF($H228="ПЛАНОВЫЕ",$K228,0)</f>
        <v>0</v>
      </c>
      <c r="T228" s="198">
        <f>IF($H228="ПРОИЗВОДСТВЕННЫЕ",$K228,0)</f>
        <v>0</v>
      </c>
      <c r="U228" s="198">
        <f>IF($H228="ТЕХНИЧЕСКИЕ",$K228,0)</f>
        <v>0</v>
      </c>
      <c r="V228" s="198">
        <f>IF($H228="ТЕХНОЛОГИЧЕСКИЕ",$K228,0)</f>
        <v>0</v>
      </c>
      <c r="W228" s="198">
        <f>IF($H228="ЛАБОРАТОРНЫЕ",$K228,0)</f>
        <v>0</v>
      </c>
      <c r="X228" s="198">
        <f>IF($H228="СЫРЬЕВЫЕ",$K228,0)</f>
        <v>0</v>
      </c>
      <c r="Y228" s="198">
        <f>IF($H228="ЛОГИСТИЧЕСКИЕ",$K228,0)</f>
        <v>0</v>
      </c>
      <c r="Z228" s="198">
        <f>IF($H228="ОБЩЕЗАВОДСКИЕ",$K228,0)</f>
        <v>0</v>
      </c>
      <c r="AB228" s="200"/>
    </row>
    <row r="229" spans="1:28" ht="13.8" thickBot="1">
      <c r="S229" s="268">
        <f t="shared" ref="S229:Z229" si="45">SUM(S162:S228)</f>
        <v>0</v>
      </c>
      <c r="T229" s="268">
        <f t="shared" si="45"/>
        <v>0</v>
      </c>
      <c r="U229" s="268">
        <f t="shared" si="45"/>
        <v>0</v>
      </c>
      <c r="V229" s="268">
        <f t="shared" si="45"/>
        <v>0</v>
      </c>
      <c r="W229" s="268">
        <f t="shared" si="45"/>
        <v>0</v>
      </c>
      <c r="X229" s="268">
        <f t="shared" si="45"/>
        <v>0</v>
      </c>
      <c r="Y229" s="268">
        <f t="shared" si="45"/>
        <v>0</v>
      </c>
      <c r="Z229" s="268">
        <f t="shared" si="45"/>
        <v>0</v>
      </c>
      <c r="AA229" s="269">
        <f>SUM(S229:Z229)</f>
        <v>0</v>
      </c>
      <c r="AB229" s="200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104" priority="8" stopIfTrue="1">
      <formula>LEN(TRIM(A37))=0</formula>
    </cfRule>
  </conditionalFormatting>
  <conditionalFormatting sqref="A152:F157">
    <cfRule type="containsBlanks" dxfId="103" priority="6" stopIfTrue="1">
      <formula>LEN(TRIM(A152))=0</formula>
    </cfRule>
  </conditionalFormatting>
  <conditionalFormatting sqref="B21:C32">
    <cfRule type="containsBlanks" dxfId="102" priority="9" stopIfTrue="1">
      <formula>LEN(TRIM(B21))=0</formula>
    </cfRule>
  </conditionalFormatting>
  <conditionalFormatting sqref="B136:C147">
    <cfRule type="containsBlanks" dxfId="101" priority="22" stopIfTrue="1">
      <formula>LEN(TRIM(B136))=0</formula>
    </cfRule>
  </conditionalFormatting>
  <conditionalFormatting sqref="D54:F55 H54:J55 D56:J58">
    <cfRule type="containsBlanks" dxfId="100" priority="28" stopIfTrue="1">
      <formula>LEN(TRIM(D54))=0</formula>
    </cfRule>
  </conditionalFormatting>
  <conditionalFormatting sqref="D169:F170">
    <cfRule type="containsBlanks" dxfId="99" priority="20" stopIfTrue="1">
      <formula>LEN(TRIM(D169))=0</formula>
    </cfRule>
  </conditionalFormatting>
  <conditionalFormatting sqref="D59:G65 D66:F67 D68:J69">
    <cfRule type="containsBlanks" dxfId="98" priority="27" stopIfTrue="1">
      <formula>LEN(TRIM(D59))=0</formula>
    </cfRule>
  </conditionalFormatting>
  <conditionalFormatting sqref="D70:G76 D77:F78 D79:J80">
    <cfRule type="containsBlanks" dxfId="97" priority="26" stopIfTrue="1">
      <formula>LEN(TRIM(D70))=0</formula>
    </cfRule>
  </conditionalFormatting>
  <conditionalFormatting sqref="D81:G87 D88:F89 D90:J91">
    <cfRule type="containsBlanks" dxfId="96" priority="25" stopIfTrue="1">
      <formula>LEN(TRIM(D81))=0</formula>
    </cfRule>
  </conditionalFormatting>
  <conditionalFormatting sqref="D162:G168">
    <cfRule type="containsBlanks" dxfId="95" priority="5" stopIfTrue="1">
      <formula>LEN(TRIM(D162))=0</formula>
    </cfRule>
  </conditionalFormatting>
  <conditionalFormatting sqref="D171:G180 D181:F182">
    <cfRule type="containsBlanks" dxfId="94" priority="19" stopIfTrue="1">
      <formula>LEN(TRIM(D171))=0</formula>
    </cfRule>
  </conditionalFormatting>
  <conditionalFormatting sqref="D183:G191 D192:F193">
    <cfRule type="containsBlanks" dxfId="93" priority="18" stopIfTrue="1">
      <formula>LEN(TRIM(D183))=0</formula>
    </cfRule>
  </conditionalFormatting>
  <conditionalFormatting sqref="D194:G202 D203:F204 D205:J206">
    <cfRule type="containsBlanks" dxfId="92" priority="17" stopIfTrue="1">
      <formula>LEN(TRIM(D194))=0</formula>
    </cfRule>
  </conditionalFormatting>
  <conditionalFormatting sqref="D47:J53">
    <cfRule type="containsBlanks" dxfId="91" priority="2" stopIfTrue="1">
      <formula>LEN(TRIM(D47))=0</formula>
    </cfRule>
  </conditionalFormatting>
  <conditionalFormatting sqref="E21:E32">
    <cfRule type="containsBlanks" dxfId="90" priority="29" stopIfTrue="1">
      <formula>LEN(TRIM(E21))=0</formula>
    </cfRule>
  </conditionalFormatting>
  <conditionalFormatting sqref="E136:E147">
    <cfRule type="containsBlanks" dxfId="89" priority="21" stopIfTrue="1">
      <formula>LEN(TRIM(E136))=0</formula>
    </cfRule>
  </conditionalFormatting>
  <conditionalFormatting sqref="G38:G42">
    <cfRule type="containsBlanks" dxfId="88" priority="10" stopIfTrue="1">
      <formula>LEN(TRIM(G38))=0</formula>
    </cfRule>
  </conditionalFormatting>
  <conditionalFormatting sqref="H59:J67">
    <cfRule type="containsBlanks" dxfId="87" priority="13" stopIfTrue="1">
      <formula>LEN(TRIM(H59))=0</formula>
    </cfRule>
  </conditionalFormatting>
  <conditionalFormatting sqref="H70:J78">
    <cfRule type="containsBlanks" dxfId="86" priority="12" stopIfTrue="1">
      <formula>LEN(TRIM(H70))=0</formula>
    </cfRule>
  </conditionalFormatting>
  <conditionalFormatting sqref="H81:J89">
    <cfRule type="containsBlanks" dxfId="85" priority="11" stopIfTrue="1">
      <formula>LEN(TRIM(H81))=0</formula>
    </cfRule>
  </conditionalFormatting>
  <conditionalFormatting sqref="H162:J204">
    <cfRule type="containsBlanks" dxfId="84" priority="3" stopIfTrue="1">
      <formula>LEN(TRIM(H162))=0</formula>
    </cfRule>
  </conditionalFormatting>
  <conditionalFormatting sqref="K125">
    <cfRule type="containsBlanks" dxfId="83" priority="1" stopIfTrue="1">
      <formula>LEN(TRIM(K125))=0</formula>
    </cfRule>
  </conditionalFormatting>
  <conditionalFormatting sqref="L47:L91">
    <cfRule type="containsBlanks" dxfId="82" priority="7" stopIfTrue="1">
      <formula>LEN(TRIM(L47))=0</formula>
    </cfRule>
  </conditionalFormatting>
  <conditionalFormatting sqref="L162:L206">
    <cfRule type="containsBlanks" dxfId="81" priority="4" stopIfTrue="1">
      <formula>LEN(TRIM(L162))=0</formula>
    </cfRule>
  </conditionalFormatting>
  <conditionalFormatting sqref="O163:O228">
    <cfRule type="containsBlanks" dxfId="80" priority="14" stopIfTrue="1">
      <formula>LEN(TRIM(O163))=0</formula>
    </cfRule>
  </conditionalFormatting>
  <conditionalFormatting sqref="O47:Q51 O52:O113">
    <cfRule type="containsBlanks" dxfId="79" priority="24" stopIfTrue="1">
      <formula>LEN(TRIM(O47))=0</formula>
    </cfRule>
  </conditionalFormatting>
  <conditionalFormatting sqref="O162:Q162">
    <cfRule type="containsBlanks" dxfId="78" priority="16" stopIfTrue="1">
      <formula>LEN(TRIM(O162))=0</formula>
    </cfRule>
  </conditionalFormatting>
  <conditionalFormatting sqref="P52:Q91">
    <cfRule type="containsBlanks" dxfId="77" priority="23" stopIfTrue="1">
      <formula>LEN(TRIM(P52))=0</formula>
    </cfRule>
  </conditionalFormatting>
  <conditionalFormatting sqref="P163:Q206">
    <cfRule type="containsBlanks" dxfId="76" priority="15" stopIfTrue="1">
      <formula>LEN(TRIM(P163))=0</formula>
    </cfRule>
  </conditionalFormatting>
  <dataValidations count="3">
    <dataValidation type="list" showInputMessage="1" showErrorMessage="1" sqref="H162:H164 H49" xr:uid="{EFEB529A-897F-4140-8193-0D4AE99DC49F}">
      <formula1>$V$3:$V$13</formula1>
    </dataValidation>
    <dataValidation type="list" showInputMessage="1" showErrorMessage="1" sqref="H68:H69 H79:H80 H90:H91 H101:H102 H112:H113 H216:H217 H227:H228 H205:H206 H183:H184 H194:H195" xr:uid="{5F206358-75C8-4250-A525-A29D2BDF9433}">
      <formula1>$V$3:$V$5</formula1>
    </dataValidation>
    <dataValidation type="list" showInputMessage="1" showErrorMessage="1" sqref="H218:H226 H185:H193 H50:H67 H196:H204 H103:H111 H81:H89 H70:H78 H92:H100 H207:H215 H165:H182 H47:H48" xr:uid="{8EBC071F-D3AE-4695-9CB6-DAE69494FD4B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C049-7189-4377-8DD2-52EC72A43FEB}">
  <sheetPr>
    <outlinePr summaryBelow="0"/>
    <pageSetUpPr fitToPage="1"/>
  </sheetPr>
  <dimension ref="A1:AB229"/>
  <sheetViews>
    <sheetView topLeftCell="A80" zoomScale="70" zoomScaleNormal="70" workbookViewId="0">
      <selection activeCell="K127" sqref="K127:L127"/>
    </sheetView>
  </sheetViews>
  <sheetFormatPr defaultColWidth="8.19921875" defaultRowHeight="13.2"/>
  <cols>
    <col min="1" max="1" width="20.69921875" style="3" customWidth="1"/>
    <col min="2" max="2" width="9.296875" style="3" customWidth="1"/>
    <col min="3" max="3" width="10.19921875" style="3" customWidth="1"/>
    <col min="4" max="4" width="12.8984375" style="3" customWidth="1"/>
    <col min="5" max="5" width="10.5" style="3" customWidth="1"/>
    <col min="6" max="6" width="23.5" style="3" customWidth="1"/>
    <col min="7" max="7" width="16.5" style="3" customWidth="1"/>
    <col min="8" max="8" width="24" style="3" customWidth="1"/>
    <col min="9" max="9" width="21.19921875" style="3" customWidth="1"/>
    <col min="10" max="10" width="21.5" style="3" customWidth="1"/>
    <col min="11" max="11" width="22" style="3" customWidth="1"/>
    <col min="12" max="12" width="20.59765625" style="3" customWidth="1"/>
    <col min="13" max="13" width="6.296875" style="3" customWidth="1"/>
    <col min="14" max="14" width="9.296875" style="3" customWidth="1"/>
    <col min="15" max="15" width="13.8984375" style="3" customWidth="1"/>
    <col min="16" max="16" width="11.59765625" style="3" customWidth="1"/>
    <col min="17" max="17" width="11.3984375" style="3" customWidth="1"/>
    <col min="18" max="21" width="6.59765625" style="3" customWidth="1"/>
    <col min="22" max="27" width="7.796875" style="3" customWidth="1"/>
    <col min="28" max="31" width="13.796875" style="3" customWidth="1"/>
    <col min="32" max="32" width="14.5" style="3" customWidth="1"/>
    <col min="33" max="33" width="19.5" style="3" customWidth="1"/>
    <col min="34" max="34" width="12" style="3" customWidth="1"/>
    <col min="35" max="35" width="8.19921875" style="3" customWidth="1"/>
    <col min="36" max="16384" width="8.19921875" style="3"/>
  </cols>
  <sheetData>
    <row r="1" spans="1:24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</row>
    <row r="2" spans="1:24" ht="15.6" thickBot="1">
      <c r="A2" s="4" t="s">
        <v>111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</row>
    <row r="3" spans="1:24" ht="17.399999999999999">
      <c r="A3" s="287" t="s">
        <v>2</v>
      </c>
      <c r="B3" s="288"/>
      <c r="C3" s="288"/>
      <c r="D3" s="288"/>
      <c r="E3" s="289"/>
      <c r="F3" s="290" t="s">
        <v>3</v>
      </c>
      <c r="G3" s="291">
        <f>SUM(J21:J32)+SUM(J136:J147)</f>
        <v>32966.666666666657</v>
      </c>
      <c r="H3" s="291">
        <f>SUM(K21:K32)+SUM(K136:K147)</f>
        <v>30549</v>
      </c>
      <c r="I3" s="292" t="s">
        <v>4</v>
      </c>
      <c r="J3" s="293">
        <v>4600</v>
      </c>
      <c r="K3" s="294" t="s">
        <v>5</v>
      </c>
      <c r="L3" s="294">
        <v>720</v>
      </c>
      <c r="V3" s="14" t="s">
        <v>6</v>
      </c>
    </row>
    <row r="4" spans="1:24" ht="20.25" customHeight="1">
      <c r="A4" s="295" t="s">
        <v>7</v>
      </c>
      <c r="B4" s="295"/>
      <c r="C4" s="295"/>
      <c r="D4" s="295"/>
      <c r="E4" s="295"/>
      <c r="F4" s="295" t="s">
        <v>8</v>
      </c>
      <c r="G4" s="295"/>
      <c r="H4" s="295"/>
      <c r="I4" s="295" t="s">
        <v>9</v>
      </c>
      <c r="J4" s="295"/>
      <c r="K4" s="295" t="s">
        <v>10</v>
      </c>
      <c r="L4" s="295"/>
      <c r="M4" s="23"/>
      <c r="N4" s="24" t="s">
        <v>11</v>
      </c>
      <c r="O4" s="25"/>
      <c r="P4" s="25"/>
      <c r="Q4" s="25"/>
      <c r="R4" s="25"/>
      <c r="S4" s="25"/>
      <c r="T4" s="25"/>
      <c r="U4" s="25"/>
      <c r="V4" s="14" t="s">
        <v>12</v>
      </c>
      <c r="X4" s="26"/>
    </row>
    <row r="5" spans="1:24" ht="13.8">
      <c r="A5" s="27" t="s">
        <v>13</v>
      </c>
      <c r="B5" s="28"/>
      <c r="C5" s="28"/>
      <c r="D5" s="28"/>
      <c r="E5" s="28"/>
      <c r="F5" s="296" t="s">
        <v>14</v>
      </c>
      <c r="G5" s="296"/>
      <c r="H5" s="296"/>
      <c r="I5" s="297" t="s">
        <v>15</v>
      </c>
      <c r="J5" s="297" t="s">
        <v>15</v>
      </c>
      <c r="K5" s="296" t="s">
        <v>112</v>
      </c>
      <c r="L5" s="296"/>
      <c r="N5" s="33"/>
      <c r="O5" s="34" t="s">
        <v>17</v>
      </c>
      <c r="P5" s="35"/>
      <c r="Q5" s="35"/>
      <c r="R5" s="36"/>
      <c r="S5" s="36"/>
      <c r="T5" s="36"/>
      <c r="U5" s="36"/>
      <c r="V5" s="14" t="s">
        <v>18</v>
      </c>
      <c r="X5" s="37"/>
    </row>
    <row r="6" spans="1:24" ht="13.8">
      <c r="A6" s="27" t="s">
        <v>19</v>
      </c>
      <c r="B6" s="28"/>
      <c r="C6" s="28"/>
      <c r="D6" s="28"/>
      <c r="E6" s="29"/>
      <c r="F6" s="296" t="s">
        <v>20</v>
      </c>
      <c r="G6" s="296"/>
      <c r="H6" s="296"/>
      <c r="I6" s="297" t="s">
        <v>21</v>
      </c>
      <c r="J6" s="297" t="s">
        <v>21</v>
      </c>
      <c r="K6" s="296" t="s">
        <v>113</v>
      </c>
      <c r="L6" s="296"/>
      <c r="N6" s="38"/>
      <c r="O6" s="39"/>
      <c r="P6" s="40"/>
      <c r="Q6" s="40"/>
      <c r="R6" s="41"/>
      <c r="S6" s="41"/>
      <c r="T6" s="41"/>
      <c r="U6" s="41"/>
      <c r="V6" s="14" t="s">
        <v>23</v>
      </c>
      <c r="X6" s="37"/>
    </row>
    <row r="7" spans="1:24" ht="16.5" customHeight="1">
      <c r="A7" s="297" t="s">
        <v>24</v>
      </c>
      <c r="B7" s="297"/>
      <c r="C7" s="297"/>
      <c r="D7" s="297"/>
      <c r="E7" s="42"/>
      <c r="F7" s="296" t="s">
        <v>25</v>
      </c>
      <c r="G7" s="296"/>
      <c r="H7" s="296"/>
      <c r="I7" s="297" t="s">
        <v>114</v>
      </c>
      <c r="J7" s="297" t="s">
        <v>114</v>
      </c>
      <c r="K7" s="296" t="s">
        <v>115</v>
      </c>
      <c r="L7" s="296"/>
      <c r="N7" s="43"/>
      <c r="O7" s="34" t="s">
        <v>28</v>
      </c>
      <c r="P7" s="35"/>
      <c r="Q7" s="44"/>
      <c r="R7" s="45"/>
      <c r="S7" s="45"/>
      <c r="T7" s="45"/>
      <c r="U7" s="45"/>
      <c r="V7" s="14" t="s">
        <v>29</v>
      </c>
      <c r="X7" s="37"/>
    </row>
    <row r="8" spans="1:24" ht="16.5" customHeight="1">
      <c r="A8" s="297" t="s">
        <v>116</v>
      </c>
      <c r="B8" s="297"/>
      <c r="C8" s="297"/>
      <c r="D8" s="297"/>
      <c r="E8" s="297"/>
      <c r="F8" s="296"/>
      <c r="G8" s="296"/>
      <c r="H8" s="296"/>
      <c r="I8" s="297" t="s">
        <v>117</v>
      </c>
      <c r="J8" s="297" t="s">
        <v>117</v>
      </c>
      <c r="K8" s="296" t="s">
        <v>118</v>
      </c>
      <c r="L8" s="296"/>
      <c r="N8" s="46"/>
      <c r="O8" s="47"/>
      <c r="P8" s="48"/>
      <c r="Q8" s="49"/>
      <c r="R8" s="50"/>
      <c r="S8" s="50"/>
      <c r="T8" s="50"/>
      <c r="U8" s="50"/>
      <c r="V8" s="14" t="s">
        <v>31</v>
      </c>
      <c r="X8" s="37"/>
    </row>
    <row r="9" spans="1:24" ht="13.8">
      <c r="A9" s="297" t="s">
        <v>116</v>
      </c>
      <c r="B9" s="297"/>
      <c r="C9" s="297"/>
      <c r="D9" s="297"/>
      <c r="E9" s="297"/>
      <c r="F9" s="296"/>
      <c r="G9" s="296"/>
      <c r="H9" s="296"/>
      <c r="I9" s="297" t="s">
        <v>119</v>
      </c>
      <c r="J9" s="297" t="s">
        <v>119</v>
      </c>
      <c r="K9" s="296" t="s">
        <v>120</v>
      </c>
      <c r="L9" s="296"/>
      <c r="N9" s="51"/>
      <c r="O9" s="51"/>
      <c r="P9" s="52"/>
      <c r="Q9" s="52"/>
      <c r="R9" s="53"/>
      <c r="S9" s="53"/>
      <c r="T9" s="53"/>
      <c r="U9" s="53"/>
      <c r="V9" s="14" t="s">
        <v>34</v>
      </c>
      <c r="X9" s="37"/>
    </row>
    <row r="10" spans="1:24" ht="13.8">
      <c r="A10" s="297"/>
      <c r="B10" s="297"/>
      <c r="C10" s="297"/>
      <c r="D10" s="297"/>
      <c r="E10" s="297"/>
      <c r="F10" s="296"/>
      <c r="G10" s="296"/>
      <c r="H10" s="296"/>
      <c r="I10" s="297" t="s">
        <v>121</v>
      </c>
      <c r="J10" s="297" t="s">
        <v>121</v>
      </c>
      <c r="K10" s="276" t="s">
        <v>122</v>
      </c>
      <c r="L10" s="277"/>
      <c r="N10" s="54"/>
      <c r="O10" s="54"/>
      <c r="P10" s="53"/>
      <c r="Q10" s="53"/>
      <c r="R10" s="53"/>
      <c r="S10" s="53"/>
      <c r="T10" s="53"/>
      <c r="U10" s="53"/>
      <c r="V10" s="14"/>
      <c r="X10" s="37"/>
    </row>
    <row r="11" spans="1:24" ht="13.8">
      <c r="A11" s="297"/>
      <c r="B11" s="297"/>
      <c r="C11" s="297"/>
      <c r="D11" s="297"/>
      <c r="E11" s="297"/>
      <c r="F11" s="296"/>
      <c r="G11" s="296"/>
      <c r="H11" s="296"/>
      <c r="I11" s="297" t="s">
        <v>123</v>
      </c>
      <c r="J11" s="297"/>
      <c r="K11" s="276" t="s">
        <v>124</v>
      </c>
      <c r="L11" s="277"/>
      <c r="N11" s="54"/>
      <c r="O11" s="54"/>
      <c r="P11" s="53"/>
      <c r="Q11" s="53"/>
      <c r="R11" s="53"/>
      <c r="S11" s="53"/>
      <c r="T11" s="53"/>
      <c r="U11" s="53"/>
      <c r="V11" s="14"/>
      <c r="X11" s="37"/>
    </row>
    <row r="12" spans="1:24" ht="13.8">
      <c r="A12" s="297"/>
      <c r="B12" s="297"/>
      <c r="C12" s="297"/>
      <c r="D12" s="297"/>
      <c r="E12" s="297"/>
      <c r="F12" s="296"/>
      <c r="G12" s="296"/>
      <c r="H12" s="296"/>
      <c r="I12" s="297" t="s">
        <v>125</v>
      </c>
      <c r="J12" s="297"/>
      <c r="K12" s="276" t="s">
        <v>126</v>
      </c>
      <c r="L12" s="277"/>
      <c r="N12" s="54"/>
      <c r="O12" s="54"/>
      <c r="P12" s="53"/>
      <c r="Q12" s="53"/>
      <c r="R12" s="53"/>
      <c r="S12" s="53"/>
      <c r="T12" s="53"/>
      <c r="U12" s="53"/>
      <c r="V12" s="14"/>
      <c r="X12" s="37"/>
    </row>
    <row r="13" spans="1:24" ht="13.8">
      <c r="A13" s="297"/>
      <c r="B13" s="297"/>
      <c r="C13" s="297"/>
      <c r="D13" s="297"/>
      <c r="E13" s="297"/>
      <c r="F13" s="296"/>
      <c r="G13" s="296"/>
      <c r="H13" s="296"/>
      <c r="I13" s="297"/>
      <c r="J13" s="297"/>
      <c r="K13" s="276"/>
      <c r="L13" s="277"/>
      <c r="N13" s="54"/>
      <c r="O13" s="54"/>
      <c r="P13" s="53"/>
      <c r="Q13" s="53"/>
      <c r="R13" s="53"/>
      <c r="S13" s="53"/>
      <c r="T13" s="53"/>
      <c r="U13" s="53"/>
      <c r="V13" s="14"/>
      <c r="X13" s="37"/>
    </row>
    <row r="14" spans="1:24" ht="18.75" customHeight="1" thickBot="1">
      <c r="A14" s="298" t="s">
        <v>38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58" t="s">
        <v>39</v>
      </c>
      <c r="O14" s="59"/>
      <c r="P14" s="59"/>
      <c r="Q14" s="59"/>
      <c r="R14" s="59"/>
      <c r="S14" s="59"/>
      <c r="T14" s="59"/>
      <c r="U14" s="60"/>
      <c r="V14" s="14" t="s">
        <v>40</v>
      </c>
      <c r="X14" s="37"/>
    </row>
    <row r="15" spans="1:24" ht="8.25" customHeight="1">
      <c r="A15" s="61" t="s">
        <v>41</v>
      </c>
      <c r="B15" s="61" t="s">
        <v>42</v>
      </c>
      <c r="C15" s="61" t="s">
        <v>43</v>
      </c>
      <c r="D15" s="61" t="s">
        <v>44</v>
      </c>
      <c r="E15" s="61" t="s">
        <v>45</v>
      </c>
      <c r="F15" s="61" t="s">
        <v>46</v>
      </c>
      <c r="G15" s="61" t="s">
        <v>47</v>
      </c>
      <c r="H15" s="61" t="s">
        <v>48</v>
      </c>
      <c r="I15" s="61" t="s">
        <v>49</v>
      </c>
      <c r="J15" s="61" t="s">
        <v>50</v>
      </c>
      <c r="K15" s="61" t="s">
        <v>51</v>
      </c>
      <c r="L15" s="61" t="s">
        <v>52</v>
      </c>
      <c r="N15" s="62" t="s">
        <v>53</v>
      </c>
      <c r="O15" s="62"/>
      <c r="P15" s="63" t="s">
        <v>54</v>
      </c>
      <c r="Q15" s="64"/>
      <c r="R15" s="64"/>
      <c r="S15" s="64"/>
      <c r="T15" s="64"/>
      <c r="U15" s="65"/>
      <c r="V15" s="62" t="s">
        <v>55</v>
      </c>
      <c r="X15" s="37"/>
    </row>
    <row r="16" spans="1:24" ht="12.75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N16" s="62"/>
      <c r="O16" s="62"/>
      <c r="P16" s="67"/>
      <c r="Q16" s="68"/>
      <c r="R16" s="68"/>
      <c r="S16" s="68"/>
      <c r="T16" s="68"/>
      <c r="U16" s="69"/>
      <c r="V16" s="62"/>
      <c r="X16" s="37"/>
    </row>
    <row r="17" spans="1:24" ht="12.75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N17" s="62"/>
      <c r="O17" s="62"/>
      <c r="P17" s="67"/>
      <c r="Q17" s="68"/>
      <c r="R17" s="68"/>
      <c r="S17" s="68"/>
      <c r="T17" s="68"/>
      <c r="U17" s="69"/>
      <c r="V17" s="62"/>
      <c r="X17" s="37"/>
    </row>
    <row r="18" spans="1:24" ht="3.75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N18" s="62"/>
      <c r="O18" s="62"/>
      <c r="P18" s="70"/>
      <c r="Q18" s="71"/>
      <c r="R18" s="71"/>
      <c r="S18" s="71"/>
      <c r="T18" s="71"/>
      <c r="U18" s="72"/>
      <c r="V18" s="62"/>
      <c r="X18" s="37"/>
    </row>
    <row r="19" spans="1:24" ht="45.75" customHeight="1" thickBot="1">
      <c r="A19" s="66"/>
      <c r="B19" s="66"/>
      <c r="C19" s="66"/>
      <c r="D19" s="73"/>
      <c r="E19" s="73"/>
      <c r="F19" s="73"/>
      <c r="G19" s="73"/>
      <c r="H19" s="73"/>
      <c r="I19" s="73"/>
      <c r="J19" s="73"/>
      <c r="K19" s="73"/>
      <c r="L19" s="66"/>
      <c r="M19" s="74"/>
      <c r="N19" s="75" t="s">
        <v>56</v>
      </c>
      <c r="O19" s="75"/>
      <c r="P19" s="76">
        <f>SUM(S47:S58)</f>
        <v>0</v>
      </c>
      <c r="Q19" s="76">
        <f>SUM(S59:S69)</f>
        <v>50.000000000000142</v>
      </c>
      <c r="R19" s="76">
        <f>SUM(S70:S80)</f>
        <v>0</v>
      </c>
      <c r="S19" s="76">
        <f>SUM(S81:S91)</f>
        <v>0</v>
      </c>
      <c r="T19" s="76">
        <f>SUM(S92:S102)</f>
        <v>0</v>
      </c>
      <c r="U19" s="76">
        <f>SUM(S103:S113)</f>
        <v>0</v>
      </c>
      <c r="V19" s="77">
        <f t="shared" ref="V19:V26" si="0">P19+Q19+R19+S19+T19+U19</f>
        <v>50.000000000000142</v>
      </c>
      <c r="X19" s="53"/>
    </row>
    <row r="20" spans="1:24" ht="14.4" customHeight="1" thickBot="1">
      <c r="A20" s="78"/>
      <c r="B20" s="78"/>
      <c r="C20" s="78"/>
      <c r="D20" s="79" t="s">
        <v>57</v>
      </c>
      <c r="E20" s="79" t="s">
        <v>58</v>
      </c>
      <c r="F20" s="79" t="s">
        <v>57</v>
      </c>
      <c r="G20" s="79"/>
      <c r="H20" s="79" t="s">
        <v>57</v>
      </c>
      <c r="I20" s="79"/>
      <c r="J20" s="79" t="s">
        <v>59</v>
      </c>
      <c r="K20" s="80" t="s">
        <v>59</v>
      </c>
      <c r="L20" s="81" t="s">
        <v>60</v>
      </c>
      <c r="N20" s="82" t="s">
        <v>61</v>
      </c>
      <c r="O20" s="82"/>
      <c r="P20" s="76">
        <f>SUM(T46:T57)</f>
        <v>0</v>
      </c>
      <c r="Q20" s="76">
        <f>SUM(T58:T68)</f>
        <v>19.999999999999929</v>
      </c>
      <c r="R20" s="76">
        <f>SUM(T69:T79)</f>
        <v>0</v>
      </c>
      <c r="S20" s="76">
        <f>SUM(T80:T90)</f>
        <v>0</v>
      </c>
      <c r="T20" s="76">
        <f>SUM(T91:T101)</f>
        <v>0</v>
      </c>
      <c r="U20" s="76">
        <f>SUM(T102:T112)</f>
        <v>0</v>
      </c>
      <c r="V20" s="77">
        <f t="shared" si="0"/>
        <v>19.999999999999929</v>
      </c>
      <c r="X20" s="53"/>
    </row>
    <row r="21" spans="1:24" ht="17.25" customHeight="1">
      <c r="A21" s="61"/>
      <c r="B21" s="83"/>
      <c r="C21" s="83"/>
      <c r="D21" s="84">
        <f>(C21-B21+(C21&lt;B21))*24*60</f>
        <v>0</v>
      </c>
      <c r="E21" s="85"/>
      <c r="F21" s="86">
        <f>IF(E21=0,0,(F37/J3*60))</f>
        <v>0</v>
      </c>
      <c r="G21" s="87">
        <f>IF($K21=0,0,(K21*100)/(D21*$J$3/60))</f>
        <v>0</v>
      </c>
      <c r="H21" s="86">
        <f>P19+P26</f>
        <v>0</v>
      </c>
      <c r="I21" s="87">
        <f>D21-F21-P27</f>
        <v>0</v>
      </c>
      <c r="J21" s="84">
        <f>(D21-H21)/60*E21</f>
        <v>0</v>
      </c>
      <c r="K21" s="88">
        <f>F37</f>
        <v>0</v>
      </c>
      <c r="L21" s="89">
        <f>IF($K21=0,0,K21/J21)</f>
        <v>0</v>
      </c>
      <c r="N21" s="82" t="s">
        <v>62</v>
      </c>
      <c r="O21" s="82"/>
      <c r="P21" s="76">
        <f>SUM(U46:U57)</f>
        <v>0</v>
      </c>
      <c r="Q21" s="76">
        <f>SUM(U58:U68)</f>
        <v>0</v>
      </c>
      <c r="R21" s="76">
        <f>SUM(U69:U79)</f>
        <v>0</v>
      </c>
      <c r="S21" s="76">
        <f>SUM(U80:U90)</f>
        <v>0</v>
      </c>
      <c r="T21" s="76">
        <f>SUM(U91:U101)</f>
        <v>0</v>
      </c>
      <c r="U21" s="76">
        <f>SUM(U102:U112)</f>
        <v>0</v>
      </c>
      <c r="V21" s="77">
        <f t="shared" si="0"/>
        <v>0</v>
      </c>
      <c r="W21" s="53"/>
      <c r="X21" s="53"/>
    </row>
    <row r="22" spans="1:24" ht="17.25" customHeight="1" thickBot="1">
      <c r="A22" s="78"/>
      <c r="B22" s="90"/>
      <c r="C22" s="90"/>
      <c r="D22" s="91"/>
      <c r="E22" s="92"/>
      <c r="F22" s="93"/>
      <c r="G22" s="94"/>
      <c r="H22" s="93"/>
      <c r="I22" s="94"/>
      <c r="J22" s="91"/>
      <c r="K22" s="95"/>
      <c r="L22" s="96">
        <f>K21-J21</f>
        <v>0</v>
      </c>
      <c r="N22" s="82" t="s">
        <v>63</v>
      </c>
      <c r="O22" s="82"/>
      <c r="P22" s="76">
        <f>SUM(V46:V57)</f>
        <v>0</v>
      </c>
      <c r="Q22" s="76">
        <f>SUM(V58:V68)</f>
        <v>0</v>
      </c>
      <c r="R22" s="76">
        <f>SUM(V69:V79)</f>
        <v>0</v>
      </c>
      <c r="S22" s="76">
        <f>SUM(V80:V90)</f>
        <v>0</v>
      </c>
      <c r="T22" s="76">
        <f>SUM(V91:V101)</f>
        <v>0</v>
      </c>
      <c r="U22" s="76">
        <f>SUM(V102:V112)</f>
        <v>0</v>
      </c>
      <c r="V22" s="77">
        <f t="shared" si="0"/>
        <v>0</v>
      </c>
      <c r="W22" s="53"/>
      <c r="X22" s="53"/>
    </row>
    <row r="23" spans="1:24" ht="17.25" customHeight="1">
      <c r="A23" s="61" t="str">
        <f>A38</f>
        <v>Тыква Гранде</v>
      </c>
      <c r="B23" s="83">
        <v>0.33333333333333331</v>
      </c>
      <c r="C23" s="83">
        <v>0.83333333333333337</v>
      </c>
      <c r="D23" s="84">
        <f>(C23-B23+(C23&lt;B23))*24*60</f>
        <v>720</v>
      </c>
      <c r="E23" s="85">
        <v>4600</v>
      </c>
      <c r="F23" s="86">
        <f>IF(E23=0,0,(F38/J3*60))</f>
        <v>398.46521739130435</v>
      </c>
      <c r="G23" s="87">
        <f>IF($K23=0,0,(K23*100)/(D23*$J$3/60))</f>
        <v>55.342391304347828</v>
      </c>
      <c r="H23" s="86">
        <f>Q19+Q26</f>
        <v>290.00000000000011</v>
      </c>
      <c r="I23" s="87">
        <f>D23-F23-Q27</f>
        <v>11.53478260869565</v>
      </c>
      <c r="J23" s="84">
        <f>(D23-H23)/60*E23</f>
        <v>32966.666666666657</v>
      </c>
      <c r="K23" s="88">
        <f>F38</f>
        <v>30549</v>
      </c>
      <c r="L23" s="97">
        <f>IF($K23=0,0,K23/J23)</f>
        <v>0.92666329625884758</v>
      </c>
      <c r="N23" s="82" t="s">
        <v>64</v>
      </c>
      <c r="O23" s="82"/>
      <c r="P23" s="76">
        <f>SUM(W46:W57)</f>
        <v>0</v>
      </c>
      <c r="Q23" s="76">
        <f>SUM(W58:W68)</f>
        <v>0</v>
      </c>
      <c r="R23" s="76">
        <f>SUM(W69:W79)</f>
        <v>0</v>
      </c>
      <c r="S23" s="76">
        <f>SUM(W80:W90)</f>
        <v>0</v>
      </c>
      <c r="T23" s="76">
        <f>SUM(W91:W101)</f>
        <v>0</v>
      </c>
      <c r="U23" s="76">
        <f>SUM(W102:W112)</f>
        <v>0</v>
      </c>
      <c r="V23" s="77">
        <f t="shared" si="0"/>
        <v>0</v>
      </c>
      <c r="W23" s="53"/>
      <c r="X23" s="53"/>
    </row>
    <row r="24" spans="1:24" ht="16.95" customHeight="1" thickBot="1">
      <c r="A24" s="78"/>
      <c r="B24" s="90"/>
      <c r="C24" s="90"/>
      <c r="D24" s="91"/>
      <c r="E24" s="92"/>
      <c r="F24" s="93"/>
      <c r="G24" s="94"/>
      <c r="H24" s="93"/>
      <c r="I24" s="94"/>
      <c r="J24" s="91"/>
      <c r="K24" s="95"/>
      <c r="L24" s="96">
        <f>K23-J23</f>
        <v>-2417.666666666657</v>
      </c>
      <c r="N24" s="98" t="s">
        <v>65</v>
      </c>
      <c r="O24" s="98"/>
      <c r="P24" s="76">
        <f>SUM(X46:X57)</f>
        <v>0</v>
      </c>
      <c r="Q24" s="76">
        <f>SUM(X58:X68)</f>
        <v>0</v>
      </c>
      <c r="R24" s="76">
        <f>SUM(X69:X79)</f>
        <v>0</v>
      </c>
      <c r="S24" s="76">
        <f>SUM(X80:X90)</f>
        <v>0</v>
      </c>
      <c r="T24" s="76">
        <f>SUM(X91:X101)</f>
        <v>0</v>
      </c>
      <c r="U24" s="76">
        <f>SUM(X102:X112)</f>
        <v>0</v>
      </c>
      <c r="V24" s="77">
        <f t="shared" si="0"/>
        <v>0</v>
      </c>
      <c r="W24" s="53"/>
      <c r="X24" s="53"/>
    </row>
    <row r="25" spans="1:24" ht="16.95" customHeight="1" collapsed="1">
      <c r="A25" s="61">
        <f>A39</f>
        <v>0</v>
      </c>
      <c r="B25" s="83"/>
      <c r="C25" s="83"/>
      <c r="D25" s="84">
        <f>(C25-B25+(C25&lt;B25))*24*60</f>
        <v>0</v>
      </c>
      <c r="E25" s="85"/>
      <c r="F25" s="86">
        <f>IF(E25=0,0,(F39/J3*60))</f>
        <v>0</v>
      </c>
      <c r="G25" s="87">
        <f>IF($K25=0,0,(K25*100)/(D25*$J$3/60))</f>
        <v>0</v>
      </c>
      <c r="H25" s="86">
        <f>R19+R26</f>
        <v>0</v>
      </c>
      <c r="I25" s="87">
        <f>D25-F25-R27</f>
        <v>0</v>
      </c>
      <c r="J25" s="84">
        <f>(D25-H25)/60*E25</f>
        <v>0</v>
      </c>
      <c r="K25" s="88">
        <f>F39</f>
        <v>0</v>
      </c>
      <c r="L25" s="89">
        <f>IF($K25=0,0,K25/J25)</f>
        <v>0</v>
      </c>
      <c r="N25" s="98" t="s">
        <v>66</v>
      </c>
      <c r="O25" s="98"/>
      <c r="P25" s="76">
        <f>SUM(Y46:Y57)</f>
        <v>0</v>
      </c>
      <c r="Q25" s="76">
        <f>SUM(Y58:Y68)</f>
        <v>0</v>
      </c>
      <c r="R25" s="76">
        <f>SUM(Y69:Y79)</f>
        <v>0</v>
      </c>
      <c r="S25" s="76">
        <f>SUM(Y80:Y90)</f>
        <v>0</v>
      </c>
      <c r="T25" s="76">
        <f>SUM(Y91:Y101)</f>
        <v>0</v>
      </c>
      <c r="U25" s="76">
        <f>SUM(Y102:Y112)</f>
        <v>0</v>
      </c>
      <c r="V25" s="77">
        <f t="shared" si="0"/>
        <v>0</v>
      </c>
      <c r="W25" s="53"/>
      <c r="X25" s="53"/>
    </row>
    <row r="26" spans="1:24" ht="16.95" customHeight="1" thickBot="1">
      <c r="A26" s="78"/>
      <c r="B26" s="90"/>
      <c r="C26" s="90"/>
      <c r="D26" s="91"/>
      <c r="E26" s="92"/>
      <c r="F26" s="93"/>
      <c r="G26" s="94"/>
      <c r="H26" s="93"/>
      <c r="I26" s="94"/>
      <c r="J26" s="91"/>
      <c r="K26" s="95"/>
      <c r="L26" s="96">
        <f>K25-J25</f>
        <v>0</v>
      </c>
      <c r="N26" s="99" t="s">
        <v>67</v>
      </c>
      <c r="O26" s="99"/>
      <c r="P26" s="76">
        <f>SUM(Z46:Z57)</f>
        <v>0</v>
      </c>
      <c r="Q26" s="76">
        <f>SUM(Z58:Z68)</f>
        <v>239.99999999999994</v>
      </c>
      <c r="R26" s="76">
        <f>SUM(Z69:Z79)</f>
        <v>0</v>
      </c>
      <c r="S26" s="76">
        <f>SUM(Z80:Z90)</f>
        <v>0</v>
      </c>
      <c r="T26" s="76">
        <f>SUM(Z91:Z101)</f>
        <v>0</v>
      </c>
      <c r="U26" s="76">
        <f>SUM(Z102:Z112)</f>
        <v>0</v>
      </c>
      <c r="V26" s="77">
        <f t="shared" si="0"/>
        <v>239.99999999999994</v>
      </c>
      <c r="W26" s="53"/>
      <c r="X26" s="53"/>
    </row>
    <row r="27" spans="1:24" ht="16.95" customHeight="1" collapsed="1">
      <c r="A27" s="66">
        <f>A40</f>
        <v>0</v>
      </c>
      <c r="B27" s="100"/>
      <c r="C27" s="100"/>
      <c r="D27" s="101">
        <f>(C27-B27+(C27&lt;B27))*24*60</f>
        <v>0</v>
      </c>
      <c r="E27" s="102"/>
      <c r="F27" s="103">
        <f>IF(E27=0,0,(F40/J3*60))</f>
        <v>0</v>
      </c>
      <c r="G27" s="87">
        <f>IF($K27=0,0,(K27*100)/(D27*$J$3/60))</f>
        <v>0</v>
      </c>
      <c r="H27" s="103">
        <f>S19+S26</f>
        <v>0</v>
      </c>
      <c r="I27" s="104">
        <f>D27-F27-S27</f>
        <v>0</v>
      </c>
      <c r="J27" s="101">
        <f>(D27-H27)/60*E27</f>
        <v>0</v>
      </c>
      <c r="K27" s="88">
        <f>F40</f>
        <v>0</v>
      </c>
      <c r="L27" s="89">
        <f>IF($K27=0,0,K27/J27)</f>
        <v>0</v>
      </c>
      <c r="N27" s="105" t="s">
        <v>68</v>
      </c>
      <c r="O27" s="105"/>
      <c r="P27" s="77">
        <f t="shared" ref="P27:U27" si="1">SUM(P18:P26)</f>
        <v>0</v>
      </c>
      <c r="Q27" s="77">
        <f t="shared" si="1"/>
        <v>310</v>
      </c>
      <c r="R27" s="77">
        <f t="shared" si="1"/>
        <v>0</v>
      </c>
      <c r="S27" s="77">
        <f t="shared" si="1"/>
        <v>0</v>
      </c>
      <c r="T27" s="77">
        <f t="shared" si="1"/>
        <v>0</v>
      </c>
      <c r="U27" s="77">
        <f t="shared" si="1"/>
        <v>0</v>
      </c>
      <c r="V27" s="77">
        <f>P27+Q27+R27+S27+T27+U27</f>
        <v>310</v>
      </c>
      <c r="W27" s="53"/>
      <c r="X27" s="53"/>
    </row>
    <row r="28" spans="1:24" ht="16.95" customHeight="1" thickBot="1">
      <c r="A28" s="78"/>
      <c r="B28" s="90"/>
      <c r="C28" s="90"/>
      <c r="D28" s="91"/>
      <c r="E28" s="92"/>
      <c r="F28" s="93"/>
      <c r="G28" s="94"/>
      <c r="H28" s="93"/>
      <c r="I28" s="94"/>
      <c r="J28" s="91"/>
      <c r="K28" s="95"/>
      <c r="L28" s="96">
        <f>K27-J27</f>
        <v>0</v>
      </c>
      <c r="N28" s="105"/>
      <c r="O28" s="105"/>
      <c r="P28" s="77"/>
      <c r="Q28" s="77"/>
      <c r="R28" s="77"/>
      <c r="S28" s="77"/>
      <c r="T28" s="77"/>
      <c r="U28" s="77"/>
      <c r="V28" s="77"/>
      <c r="W28" s="53"/>
      <c r="X28" s="53"/>
    </row>
    <row r="29" spans="1:24" ht="16.95" customHeight="1">
      <c r="A29" s="61">
        <f>A41</f>
        <v>0</v>
      </c>
      <c r="B29" s="83"/>
      <c r="C29" s="83"/>
      <c r="D29" s="84">
        <f>(C29-B29+(C29&lt;B29))*24*60</f>
        <v>0</v>
      </c>
      <c r="E29" s="85"/>
      <c r="F29" s="86">
        <f>IF(E29=0,0,(F41/J3*60))</f>
        <v>0</v>
      </c>
      <c r="G29" s="87">
        <f>IF($K29=0,0,(K29*100)/(D29*$J$3/60))</f>
        <v>0</v>
      </c>
      <c r="H29" s="86">
        <f>T19+T26</f>
        <v>0</v>
      </c>
      <c r="I29" s="87">
        <f>D29-F29-T27</f>
        <v>0</v>
      </c>
      <c r="J29" s="84">
        <f>(D29-H29)/60*E29</f>
        <v>0</v>
      </c>
      <c r="K29" s="88">
        <f>F41</f>
        <v>0</v>
      </c>
      <c r="L29" s="89">
        <f>IF($K29=0,0,K29/J29)</f>
        <v>0</v>
      </c>
      <c r="V29" s="53"/>
      <c r="W29" s="53"/>
      <c r="X29" s="53"/>
    </row>
    <row r="30" spans="1:24" ht="16.95" customHeight="1" thickBot="1">
      <c r="A30" s="78"/>
      <c r="B30" s="90"/>
      <c r="C30" s="90"/>
      <c r="D30" s="91"/>
      <c r="E30" s="92"/>
      <c r="F30" s="93"/>
      <c r="G30" s="94"/>
      <c r="H30" s="93"/>
      <c r="I30" s="94"/>
      <c r="J30" s="91"/>
      <c r="K30" s="95"/>
      <c r="L30" s="96">
        <f>K29-J29</f>
        <v>0</v>
      </c>
      <c r="V30" s="53"/>
      <c r="W30" s="53"/>
      <c r="X30" s="53"/>
    </row>
    <row r="31" spans="1:24" ht="16.95" customHeight="1">
      <c r="A31" s="61">
        <f>A42</f>
        <v>0</v>
      </c>
      <c r="B31" s="83"/>
      <c r="C31" s="83"/>
      <c r="D31" s="84">
        <f>(C31-B31+(C31&lt;B31))*24*60</f>
        <v>0</v>
      </c>
      <c r="E31" s="85"/>
      <c r="F31" s="86">
        <f>IF(E31=0,0,(F42/J3*60))</f>
        <v>0</v>
      </c>
      <c r="G31" s="87">
        <f>IF($K31=0,0,(K31*100)/(D31*$J$3/60))</f>
        <v>0</v>
      </c>
      <c r="H31" s="86">
        <f>U19+U26</f>
        <v>0</v>
      </c>
      <c r="I31" s="87">
        <f>D31-F31-U27</f>
        <v>0</v>
      </c>
      <c r="J31" s="84">
        <f>(D31-H31)/60*E31</f>
        <v>0</v>
      </c>
      <c r="K31" s="88">
        <f>F42</f>
        <v>0</v>
      </c>
      <c r="L31" s="89">
        <f>IF($K31=0,0,K31/J31)</f>
        <v>0</v>
      </c>
      <c r="V31" s="53"/>
      <c r="W31" s="53"/>
      <c r="X31" s="53"/>
    </row>
    <row r="32" spans="1:24" ht="16.95" customHeight="1" thickBot="1">
      <c r="A32" s="78"/>
      <c r="B32" s="90"/>
      <c r="C32" s="90"/>
      <c r="D32" s="91"/>
      <c r="E32" s="92"/>
      <c r="F32" s="93"/>
      <c r="G32" s="94"/>
      <c r="H32" s="93"/>
      <c r="I32" s="94"/>
      <c r="J32" s="101"/>
      <c r="K32" s="106"/>
      <c r="L32" s="107">
        <f>K31-J31</f>
        <v>0</v>
      </c>
      <c r="V32" s="53"/>
      <c r="W32" s="53"/>
      <c r="X32" s="53"/>
    </row>
    <row r="33" spans="1:28" s="113" customFormat="1" ht="17.25" customHeight="1">
      <c r="A33" s="108" t="s">
        <v>69</v>
      </c>
      <c r="B33" s="108"/>
      <c r="C33" s="108"/>
      <c r="D33" s="108"/>
      <c r="E33" s="108"/>
      <c r="F33" s="108"/>
      <c r="G33" s="108"/>
      <c r="H33" s="108"/>
      <c r="I33" s="109"/>
      <c r="J33" s="110" t="s">
        <v>70</v>
      </c>
      <c r="K33" s="111" t="s">
        <v>71</v>
      </c>
      <c r="L33" s="112">
        <f>IF($K34=0,0,K34/J34)</f>
        <v>0.92666329625884758</v>
      </c>
      <c r="N33" s="3"/>
      <c r="O33" s="3"/>
      <c r="P33" s="3"/>
      <c r="Q33" s="3"/>
      <c r="R33" s="3"/>
      <c r="S33" s="3"/>
      <c r="T33" s="3"/>
      <c r="U33" s="3"/>
      <c r="V33" s="53"/>
      <c r="W33" s="114"/>
      <c r="X33" s="114"/>
    </row>
    <row r="34" spans="1:28" ht="17.25" customHeight="1" thickBot="1">
      <c r="A34" s="115"/>
      <c r="B34" s="115"/>
      <c r="C34" s="115"/>
      <c r="D34" s="115"/>
      <c r="E34" s="115"/>
      <c r="F34" s="115"/>
      <c r="G34" s="115"/>
      <c r="H34" s="115"/>
      <c r="I34" s="116"/>
      <c r="J34" s="117">
        <f>J21+J23+J25+J27+J29+J31</f>
        <v>32966.666666666657</v>
      </c>
      <c r="K34" s="111">
        <f>K21+K23+K25+K27+K29+K31</f>
        <v>30549</v>
      </c>
      <c r="L34" s="118"/>
      <c r="M34" s="53"/>
      <c r="V34" s="53"/>
      <c r="W34" s="53"/>
      <c r="X34" s="53"/>
    </row>
    <row r="35" spans="1:28" ht="17.25" customHeight="1">
      <c r="A35" s="119" t="s">
        <v>72</v>
      </c>
      <c r="B35" s="120"/>
      <c r="C35" s="120"/>
      <c r="D35" s="120"/>
      <c r="E35" s="121"/>
      <c r="F35" s="61" t="s">
        <v>73</v>
      </c>
      <c r="G35" s="61" t="s">
        <v>74</v>
      </c>
      <c r="H35" s="122"/>
      <c r="I35" s="123"/>
      <c r="J35" s="124"/>
      <c r="K35" s="125"/>
      <c r="L35" s="126" t="s">
        <v>75</v>
      </c>
      <c r="M35" s="127"/>
      <c r="V35" s="53"/>
      <c r="W35" s="128"/>
      <c r="X35" s="128"/>
    </row>
    <row r="36" spans="1:28" ht="17.25" customHeight="1" thickBot="1">
      <c r="A36" s="129"/>
      <c r="B36" s="130"/>
      <c r="C36" s="130"/>
      <c r="D36" s="130"/>
      <c r="E36" s="131"/>
      <c r="F36" s="73"/>
      <c r="G36" s="73"/>
      <c r="H36" s="132"/>
      <c r="I36" s="133"/>
      <c r="J36" s="134"/>
      <c r="K36" s="135"/>
      <c r="L36" s="136"/>
      <c r="M36" s="127"/>
      <c r="V36" s="53"/>
      <c r="W36" s="128"/>
      <c r="X36" s="128"/>
    </row>
    <row r="37" spans="1:28" ht="15.6" thickBot="1">
      <c r="A37" s="137"/>
      <c r="B37" s="138"/>
      <c r="C37" s="138"/>
      <c r="D37" s="138"/>
      <c r="E37" s="139"/>
      <c r="F37" s="140"/>
      <c r="G37" s="141"/>
      <c r="H37" s="142"/>
      <c r="I37" s="143"/>
      <c r="J37" s="144"/>
      <c r="K37" s="145">
        <f>G37</f>
        <v>0</v>
      </c>
      <c r="L37" s="146"/>
      <c r="M37" s="147"/>
      <c r="V37" s="53"/>
      <c r="W37" s="53"/>
      <c r="X37" s="53"/>
    </row>
    <row r="38" spans="1:28" ht="13.5" customHeight="1" thickBot="1">
      <c r="A38" s="137" t="s">
        <v>127</v>
      </c>
      <c r="B38" s="138"/>
      <c r="C38" s="138"/>
      <c r="D38" s="138"/>
      <c r="E38" s="139"/>
      <c r="F38" s="148">
        <v>30549</v>
      </c>
      <c r="G38" s="148">
        <v>29484</v>
      </c>
      <c r="H38" s="149"/>
      <c r="I38" s="150"/>
      <c r="J38" s="151"/>
      <c r="K38" s="145">
        <f t="shared" ref="K38:K42" si="2">G38</f>
        <v>29484</v>
      </c>
      <c r="L38" s="152"/>
      <c r="M38" s="147"/>
      <c r="V38" s="53"/>
      <c r="W38" s="53"/>
      <c r="X38" s="53"/>
    </row>
    <row r="39" spans="1:28" ht="13.5" customHeight="1" thickBot="1">
      <c r="A39" s="137"/>
      <c r="B39" s="138"/>
      <c r="C39" s="138"/>
      <c r="D39" s="138"/>
      <c r="E39" s="139"/>
      <c r="F39" s="148"/>
      <c r="G39" s="148"/>
      <c r="H39" s="149"/>
      <c r="I39" s="150"/>
      <c r="J39" s="151"/>
      <c r="K39" s="145">
        <f t="shared" si="2"/>
        <v>0</v>
      </c>
      <c r="L39" s="152"/>
      <c r="M39" s="147"/>
      <c r="V39" s="53"/>
      <c r="W39" s="53"/>
      <c r="X39" s="53"/>
    </row>
    <row r="40" spans="1:28" ht="13.5" customHeight="1" thickBot="1">
      <c r="A40" s="137"/>
      <c r="B40" s="138"/>
      <c r="C40" s="138"/>
      <c r="D40" s="138"/>
      <c r="E40" s="139"/>
      <c r="F40" s="148"/>
      <c r="G40" s="148"/>
      <c r="H40" s="149"/>
      <c r="I40" s="150"/>
      <c r="J40" s="151"/>
      <c r="K40" s="145">
        <f t="shared" si="2"/>
        <v>0</v>
      </c>
      <c r="L40" s="152"/>
      <c r="M40" s="147"/>
      <c r="V40" s="53"/>
      <c r="W40" s="53"/>
      <c r="X40" s="53"/>
    </row>
    <row r="41" spans="1:28" ht="13.5" customHeight="1" thickBot="1">
      <c r="A41" s="137"/>
      <c r="B41" s="138"/>
      <c r="C41" s="138"/>
      <c r="D41" s="138"/>
      <c r="E41" s="139"/>
      <c r="F41" s="148"/>
      <c r="G41" s="148"/>
      <c r="H41" s="149"/>
      <c r="I41" s="150"/>
      <c r="J41" s="151"/>
      <c r="K41" s="145">
        <f t="shared" si="2"/>
        <v>0</v>
      </c>
      <c r="L41" s="152"/>
      <c r="M41" s="147"/>
      <c r="V41" s="53"/>
      <c r="W41" s="53"/>
      <c r="X41" s="53"/>
    </row>
    <row r="42" spans="1:28" ht="13.5" customHeight="1" thickBot="1">
      <c r="A42" s="153"/>
      <c r="B42" s="154"/>
      <c r="C42" s="154"/>
      <c r="D42" s="154"/>
      <c r="E42" s="155"/>
      <c r="F42" s="148"/>
      <c r="G42" s="148"/>
      <c r="H42" s="149"/>
      <c r="I42" s="150"/>
      <c r="J42" s="151"/>
      <c r="K42" s="145">
        <f t="shared" si="2"/>
        <v>0</v>
      </c>
      <c r="L42" s="152"/>
      <c r="M42" s="147"/>
      <c r="V42" s="53"/>
      <c r="W42" s="53"/>
      <c r="X42" s="53"/>
    </row>
    <row r="43" spans="1:28" ht="13.8" thickBot="1">
      <c r="A43" s="156" t="s">
        <v>77</v>
      </c>
      <c r="B43" s="157"/>
      <c r="C43" s="157"/>
      <c r="D43" s="157"/>
      <c r="E43" s="157"/>
      <c r="F43" s="158"/>
      <c r="G43" s="158"/>
      <c r="H43" s="158"/>
      <c r="I43" s="158"/>
      <c r="J43" s="159"/>
      <c r="K43" s="160">
        <f>SUM(K37:K42)</f>
        <v>29484</v>
      </c>
      <c r="L43" s="160">
        <f>SUM(L38+L38)</f>
        <v>0</v>
      </c>
      <c r="M43" s="161"/>
      <c r="V43" s="53"/>
    </row>
    <row r="44" spans="1:28" ht="12.75" customHeight="1" thickBot="1"/>
    <row r="45" spans="1:28" ht="12.75" customHeight="1" thickBot="1">
      <c r="A45" s="162" t="s">
        <v>72</v>
      </c>
      <c r="B45" s="162" t="s">
        <v>78</v>
      </c>
      <c r="C45" s="163"/>
      <c r="D45" s="164" t="s">
        <v>79</v>
      </c>
      <c r="E45" s="163" t="s">
        <v>80</v>
      </c>
      <c r="F45" s="165" t="s">
        <v>81</v>
      </c>
      <c r="G45" s="166"/>
      <c r="H45" s="164" t="s">
        <v>82</v>
      </c>
      <c r="I45" s="167" t="s">
        <v>83</v>
      </c>
      <c r="J45" s="168"/>
      <c r="K45" s="164" t="s">
        <v>84</v>
      </c>
      <c r="L45" s="162" t="s">
        <v>85</v>
      </c>
      <c r="M45" s="165"/>
      <c r="N45" s="166"/>
      <c r="O45" s="164" t="s">
        <v>86</v>
      </c>
      <c r="P45" s="164" t="s">
        <v>87</v>
      </c>
      <c r="Q45" s="164" t="s">
        <v>88</v>
      </c>
      <c r="S45" s="169" t="s">
        <v>89</v>
      </c>
      <c r="T45" s="170"/>
      <c r="U45" s="170"/>
      <c r="V45" s="170"/>
      <c r="W45" s="170"/>
      <c r="X45" s="170"/>
      <c r="Y45" s="170"/>
      <c r="Z45" s="170"/>
      <c r="AA45" s="171"/>
    </row>
    <row r="46" spans="1:28" s="23" customFormat="1" ht="25.5" customHeight="1" thickBot="1">
      <c r="A46" s="172"/>
      <c r="B46" s="172"/>
      <c r="C46" s="173"/>
      <c r="D46" s="174"/>
      <c r="E46" s="175"/>
      <c r="F46" s="176"/>
      <c r="G46" s="177"/>
      <c r="H46" s="178"/>
      <c r="I46" s="179" t="s">
        <v>90</v>
      </c>
      <c r="J46" s="180" t="s">
        <v>91</v>
      </c>
      <c r="K46" s="174"/>
      <c r="L46" s="172"/>
      <c r="M46" s="181"/>
      <c r="N46" s="182"/>
      <c r="O46" s="174"/>
      <c r="P46" s="174"/>
      <c r="Q46" s="174"/>
      <c r="R46" s="3"/>
      <c r="S46" s="183" t="s">
        <v>92</v>
      </c>
      <c r="T46" s="183" t="s">
        <v>61</v>
      </c>
      <c r="U46" s="183" t="s">
        <v>62</v>
      </c>
      <c r="V46" s="183" t="s">
        <v>63</v>
      </c>
      <c r="W46" s="183" t="s">
        <v>64</v>
      </c>
      <c r="X46" s="183" t="s">
        <v>65</v>
      </c>
      <c r="Y46" s="183" t="s">
        <v>66</v>
      </c>
      <c r="Z46" s="183" t="s">
        <v>67</v>
      </c>
    </row>
    <row r="47" spans="1:28" s="199" customFormat="1" ht="29.25" customHeight="1">
      <c r="A47" s="184">
        <f>A37</f>
        <v>0</v>
      </c>
      <c r="B47" s="185">
        <f>B21</f>
        <v>0</v>
      </c>
      <c r="C47" s="185">
        <f>B47+1/24</f>
        <v>4.1666666666666664E-2</v>
      </c>
      <c r="D47" s="186"/>
      <c r="E47" s="187"/>
      <c r="F47" s="188"/>
      <c r="G47" s="189"/>
      <c r="H47" s="190"/>
      <c r="I47" s="191"/>
      <c r="J47" s="191"/>
      <c r="K47" s="192">
        <f>(J47-I47+(J47&lt;I47))*24*60</f>
        <v>0</v>
      </c>
      <c r="L47" s="193"/>
      <c r="M47" s="194"/>
      <c r="N47" s="195"/>
      <c r="O47" s="196"/>
      <c r="P47" s="187"/>
      <c r="Q47" s="197"/>
      <c r="R47" s="3"/>
      <c r="S47" s="198">
        <f>IF($H47="ПЛАНОВЫЕ",$K47,0)</f>
        <v>0</v>
      </c>
      <c r="T47" s="198">
        <f>IF($H47="ПРОИЗВОДСТВЕННЫЕ",$K47,0)</f>
        <v>0</v>
      </c>
      <c r="U47" s="198">
        <f>IF($H47="ТЕХНИЧЕСКИЕ",$K47,0)</f>
        <v>0</v>
      </c>
      <c r="V47" s="198">
        <f>IF($H47="ТЕХНОЛОГИЧЕСКИЕ",$K47,0)</f>
        <v>0</v>
      </c>
      <c r="W47" s="198">
        <f>IF($H47="ЛАБОРАТОРНЫЕ",$K47,0)</f>
        <v>0</v>
      </c>
      <c r="X47" s="198">
        <f>IF($H47="СЫРЬЕВЫЕ",$K47,0)</f>
        <v>0</v>
      </c>
      <c r="Y47" s="198">
        <f>IF($H47="ЛОГИСТИЧЕСКИЕ",$K47,0)</f>
        <v>0</v>
      </c>
      <c r="Z47" s="198">
        <f>IF($H47="ОБЩЕЗАВОДСКИЕ",$K47,0)</f>
        <v>0</v>
      </c>
      <c r="AB47" s="200"/>
    </row>
    <row r="48" spans="1:28" s="199" customFormat="1" ht="29.25" customHeight="1">
      <c r="A48" s="201"/>
      <c r="B48" s="202">
        <f>C47</f>
        <v>4.1666666666666664E-2</v>
      </c>
      <c r="C48" s="202">
        <f>B48+1/24</f>
        <v>8.3333333333333329E-2</v>
      </c>
      <c r="D48" s="203"/>
      <c r="E48" s="204"/>
      <c r="F48" s="205"/>
      <c r="G48" s="206"/>
      <c r="H48" s="214"/>
      <c r="I48" s="207"/>
      <c r="J48" s="207"/>
      <c r="K48" s="208"/>
      <c r="L48" s="209"/>
      <c r="M48" s="210"/>
      <c r="N48" s="211"/>
      <c r="O48" s="212"/>
      <c r="P48" s="204"/>
      <c r="Q48" s="213"/>
      <c r="R48" s="3"/>
      <c r="S48" s="198">
        <f t="shared" ref="S48:S111" si="3">IF($H48="ПЛАНОВЫЕ",$K48,0)</f>
        <v>0</v>
      </c>
      <c r="T48" s="198">
        <f t="shared" ref="T48:T111" si="4">IF($H48="ПРОИЗВОДСТВЕННЫЕ",$K48,0)</f>
        <v>0</v>
      </c>
      <c r="U48" s="198">
        <f t="shared" ref="U48:U111" si="5">IF($H48="ТЕХНИЧЕСКИЕ",$K48,0)</f>
        <v>0</v>
      </c>
      <c r="V48" s="198">
        <f t="shared" ref="V48:V111" si="6">IF($H48="ТЕХНОЛОГИЧЕСКИЕ",$K48,0)</f>
        <v>0</v>
      </c>
      <c r="W48" s="198">
        <f t="shared" ref="W48:W111" si="7">IF($H48="ЛАБОРАТОРНЫЕ",$K48,0)</f>
        <v>0</v>
      </c>
      <c r="X48" s="198">
        <f t="shared" ref="X48:X111" si="8">IF($H48="СЫРЬЕВЫЕ",$K48,0)</f>
        <v>0</v>
      </c>
      <c r="Y48" s="198">
        <f t="shared" ref="Y48:Y111" si="9">IF($H48="ЛОГИСТИЧЕСКИЕ",$K48,0)</f>
        <v>0</v>
      </c>
      <c r="Z48" s="198">
        <f t="shared" ref="Z48:Z111" si="10">IF($H48="ОБЩЕЗАВОДСКИЕ",$K48,0)</f>
        <v>0</v>
      </c>
      <c r="AB48" s="200"/>
    </row>
    <row r="49" spans="1:28" s="199" customFormat="1" ht="29.25" customHeight="1">
      <c r="A49" s="201"/>
      <c r="B49" s="202">
        <f t="shared" ref="B49:B58" si="11">C48</f>
        <v>8.3333333333333329E-2</v>
      </c>
      <c r="C49" s="202">
        <f t="shared" ref="C49:C58" si="12">B49+1/24</f>
        <v>0.125</v>
      </c>
      <c r="D49" s="203"/>
      <c r="E49" s="204"/>
      <c r="F49" s="215"/>
      <c r="G49" s="215"/>
      <c r="H49" s="214"/>
      <c r="I49" s="207"/>
      <c r="J49" s="207"/>
      <c r="K49" s="208"/>
      <c r="L49" s="209"/>
      <c r="M49" s="210"/>
      <c r="N49" s="211"/>
      <c r="O49" s="212"/>
      <c r="P49" s="204"/>
      <c r="Q49" s="213"/>
      <c r="R49" s="3"/>
      <c r="S49" s="198">
        <f t="shared" si="3"/>
        <v>0</v>
      </c>
      <c r="T49" s="198">
        <f t="shared" si="4"/>
        <v>0</v>
      </c>
      <c r="U49" s="198">
        <f t="shared" si="5"/>
        <v>0</v>
      </c>
      <c r="V49" s="198">
        <f t="shared" si="6"/>
        <v>0</v>
      </c>
      <c r="W49" s="198">
        <f t="shared" si="7"/>
        <v>0</v>
      </c>
      <c r="X49" s="198">
        <f t="shared" si="8"/>
        <v>0</v>
      </c>
      <c r="Y49" s="198">
        <f t="shared" si="9"/>
        <v>0</v>
      </c>
      <c r="Z49" s="198">
        <f t="shared" si="10"/>
        <v>0</v>
      </c>
      <c r="AB49" s="200"/>
    </row>
    <row r="50" spans="1:28" s="199" customFormat="1" ht="29.25" customHeight="1">
      <c r="A50" s="201"/>
      <c r="B50" s="202">
        <f t="shared" si="11"/>
        <v>0.125</v>
      </c>
      <c r="C50" s="202">
        <f t="shared" si="12"/>
        <v>0.16666666666666666</v>
      </c>
      <c r="D50" s="203"/>
      <c r="E50" s="204"/>
      <c r="F50" s="215"/>
      <c r="G50" s="215"/>
      <c r="H50" s="214"/>
      <c r="I50" s="207"/>
      <c r="J50" s="207"/>
      <c r="K50" s="208"/>
      <c r="L50" s="209"/>
      <c r="M50" s="210"/>
      <c r="N50" s="211"/>
      <c r="O50" s="212"/>
      <c r="P50" s="204"/>
      <c r="Q50" s="213"/>
      <c r="R50" s="3"/>
      <c r="S50" s="198">
        <f t="shared" si="3"/>
        <v>0</v>
      </c>
      <c r="T50" s="198">
        <f t="shared" si="4"/>
        <v>0</v>
      </c>
      <c r="U50" s="198">
        <f t="shared" si="5"/>
        <v>0</v>
      </c>
      <c r="V50" s="198">
        <f t="shared" si="6"/>
        <v>0</v>
      </c>
      <c r="W50" s="198">
        <f t="shared" si="7"/>
        <v>0</v>
      </c>
      <c r="X50" s="198">
        <f t="shared" si="8"/>
        <v>0</v>
      </c>
      <c r="Y50" s="198">
        <f t="shared" si="9"/>
        <v>0</v>
      </c>
      <c r="Z50" s="198">
        <f t="shared" si="10"/>
        <v>0</v>
      </c>
      <c r="AB50" s="200"/>
    </row>
    <row r="51" spans="1:28" s="199" customFormat="1" ht="29.25" customHeight="1">
      <c r="A51" s="201"/>
      <c r="B51" s="202">
        <f t="shared" si="11"/>
        <v>0.16666666666666666</v>
      </c>
      <c r="C51" s="202">
        <f t="shared" si="12"/>
        <v>0.20833333333333331</v>
      </c>
      <c r="D51" s="203"/>
      <c r="E51" s="204"/>
      <c r="F51" s="215"/>
      <c r="G51" s="215"/>
      <c r="H51" s="214"/>
      <c r="I51" s="207"/>
      <c r="J51" s="207"/>
      <c r="K51" s="208"/>
      <c r="L51" s="209"/>
      <c r="M51" s="210"/>
      <c r="N51" s="211"/>
      <c r="O51" s="212"/>
      <c r="P51" s="204"/>
      <c r="Q51" s="213"/>
      <c r="R51" s="3"/>
      <c r="S51" s="198">
        <f t="shared" si="3"/>
        <v>0</v>
      </c>
      <c r="T51" s="198">
        <f t="shared" si="4"/>
        <v>0</v>
      </c>
      <c r="U51" s="198">
        <f t="shared" si="5"/>
        <v>0</v>
      </c>
      <c r="V51" s="198">
        <f t="shared" si="6"/>
        <v>0</v>
      </c>
      <c r="W51" s="198">
        <f t="shared" si="7"/>
        <v>0</v>
      </c>
      <c r="X51" s="198">
        <f t="shared" si="8"/>
        <v>0</v>
      </c>
      <c r="Y51" s="198">
        <f t="shared" si="9"/>
        <v>0</v>
      </c>
      <c r="Z51" s="198">
        <f t="shared" si="10"/>
        <v>0</v>
      </c>
      <c r="AB51" s="200"/>
    </row>
    <row r="52" spans="1:28" s="199" customFormat="1" ht="29.25" customHeight="1">
      <c r="A52" s="201"/>
      <c r="B52" s="202">
        <f t="shared" si="11"/>
        <v>0.20833333333333331</v>
      </c>
      <c r="C52" s="202">
        <f t="shared" si="12"/>
        <v>0.24999999999999997</v>
      </c>
      <c r="D52" s="203"/>
      <c r="E52" s="204"/>
      <c r="F52" s="215"/>
      <c r="G52" s="215"/>
      <c r="H52" s="214"/>
      <c r="I52" s="207"/>
      <c r="J52" s="207"/>
      <c r="K52" s="208"/>
      <c r="L52" s="209"/>
      <c r="M52" s="210"/>
      <c r="N52" s="211"/>
      <c r="O52" s="212"/>
      <c r="P52" s="204"/>
      <c r="Q52" s="213"/>
      <c r="R52" s="3"/>
      <c r="S52" s="198">
        <f t="shared" si="3"/>
        <v>0</v>
      </c>
      <c r="T52" s="198">
        <f t="shared" si="4"/>
        <v>0</v>
      </c>
      <c r="U52" s="198">
        <f t="shared" si="5"/>
        <v>0</v>
      </c>
      <c r="V52" s="198">
        <f t="shared" si="6"/>
        <v>0</v>
      </c>
      <c r="W52" s="198">
        <f t="shared" si="7"/>
        <v>0</v>
      </c>
      <c r="X52" s="198">
        <f t="shared" si="8"/>
        <v>0</v>
      </c>
      <c r="Y52" s="198">
        <f t="shared" si="9"/>
        <v>0</v>
      </c>
      <c r="Z52" s="198">
        <f t="shared" si="10"/>
        <v>0</v>
      </c>
      <c r="AB52" s="200"/>
    </row>
    <row r="53" spans="1:28" s="199" customFormat="1" ht="29.25" customHeight="1">
      <c r="A53" s="201"/>
      <c r="B53" s="202">
        <f t="shared" si="11"/>
        <v>0.24999999999999997</v>
      </c>
      <c r="C53" s="202">
        <f t="shared" si="12"/>
        <v>0.29166666666666663</v>
      </c>
      <c r="D53" s="203"/>
      <c r="E53" s="216"/>
      <c r="F53" s="215"/>
      <c r="G53" s="215"/>
      <c r="H53" s="214"/>
      <c r="I53" s="207"/>
      <c r="J53" s="207"/>
      <c r="K53" s="208"/>
      <c r="L53" s="209"/>
      <c r="M53" s="210"/>
      <c r="N53" s="211"/>
      <c r="O53" s="212"/>
      <c r="P53" s="204"/>
      <c r="Q53" s="213"/>
      <c r="R53" s="3"/>
      <c r="S53" s="198">
        <f t="shared" si="3"/>
        <v>0</v>
      </c>
      <c r="T53" s="198">
        <f t="shared" si="4"/>
        <v>0</v>
      </c>
      <c r="U53" s="198">
        <f t="shared" si="5"/>
        <v>0</v>
      </c>
      <c r="V53" s="198">
        <f t="shared" si="6"/>
        <v>0</v>
      </c>
      <c r="W53" s="198">
        <f t="shared" si="7"/>
        <v>0</v>
      </c>
      <c r="X53" s="198">
        <f t="shared" si="8"/>
        <v>0</v>
      </c>
      <c r="Y53" s="198">
        <f t="shared" si="9"/>
        <v>0</v>
      </c>
      <c r="Z53" s="198">
        <f t="shared" si="10"/>
        <v>0</v>
      </c>
      <c r="AB53" s="200"/>
    </row>
    <row r="54" spans="1:28" s="199" customFormat="1" ht="29.25" customHeight="1">
      <c r="A54" s="201"/>
      <c r="B54" s="202">
        <f t="shared" si="11"/>
        <v>0.29166666666666663</v>
      </c>
      <c r="C54" s="202">
        <f t="shared" si="12"/>
        <v>0.33333333333333331</v>
      </c>
      <c r="D54" s="203"/>
      <c r="E54" s="216"/>
      <c r="F54" s="205"/>
      <c r="G54" s="206"/>
      <c r="H54" s="214"/>
      <c r="I54" s="207"/>
      <c r="J54" s="207"/>
      <c r="K54" s="208"/>
      <c r="L54" s="209"/>
      <c r="M54" s="210"/>
      <c r="N54" s="211"/>
      <c r="O54" s="212"/>
      <c r="P54" s="204"/>
      <c r="Q54" s="213"/>
      <c r="R54" s="3"/>
      <c r="S54" s="198">
        <f t="shared" si="3"/>
        <v>0</v>
      </c>
      <c r="T54" s="198">
        <f t="shared" si="4"/>
        <v>0</v>
      </c>
      <c r="U54" s="198">
        <f t="shared" si="5"/>
        <v>0</v>
      </c>
      <c r="V54" s="198">
        <f t="shared" si="6"/>
        <v>0</v>
      </c>
      <c r="W54" s="198">
        <f t="shared" si="7"/>
        <v>0</v>
      </c>
      <c r="X54" s="198">
        <f t="shared" si="8"/>
        <v>0</v>
      </c>
      <c r="Y54" s="198">
        <f t="shared" si="9"/>
        <v>0</v>
      </c>
      <c r="Z54" s="198">
        <f t="shared" si="10"/>
        <v>0</v>
      </c>
      <c r="AB54" s="200"/>
    </row>
    <row r="55" spans="1:28" s="199" customFormat="1" ht="29.25" customHeight="1">
      <c r="A55" s="201"/>
      <c r="B55" s="202">
        <f t="shared" si="11"/>
        <v>0.33333333333333331</v>
      </c>
      <c r="C55" s="202">
        <f t="shared" si="12"/>
        <v>0.375</v>
      </c>
      <c r="D55" s="203"/>
      <c r="E55" s="216"/>
      <c r="F55" s="205"/>
      <c r="G55" s="206"/>
      <c r="H55" s="214"/>
      <c r="I55" s="207"/>
      <c r="J55" s="207"/>
      <c r="K55" s="208"/>
      <c r="L55" s="209"/>
      <c r="M55" s="210"/>
      <c r="N55" s="211"/>
      <c r="O55" s="212"/>
      <c r="P55" s="204"/>
      <c r="Q55" s="213"/>
      <c r="R55" s="3"/>
      <c r="S55" s="198">
        <f t="shared" si="3"/>
        <v>0</v>
      </c>
      <c r="T55" s="198">
        <f t="shared" si="4"/>
        <v>0</v>
      </c>
      <c r="U55" s="198">
        <f t="shared" si="5"/>
        <v>0</v>
      </c>
      <c r="V55" s="198">
        <f t="shared" si="6"/>
        <v>0</v>
      </c>
      <c r="W55" s="198">
        <f t="shared" si="7"/>
        <v>0</v>
      </c>
      <c r="X55" s="198">
        <f t="shared" si="8"/>
        <v>0</v>
      </c>
      <c r="Y55" s="198">
        <f t="shared" si="9"/>
        <v>0</v>
      </c>
      <c r="Z55" s="198">
        <f t="shared" si="10"/>
        <v>0</v>
      </c>
      <c r="AB55" s="200"/>
    </row>
    <row r="56" spans="1:28" s="199" customFormat="1" ht="29.25" customHeight="1">
      <c r="A56" s="201"/>
      <c r="B56" s="202">
        <f t="shared" si="11"/>
        <v>0.375</v>
      </c>
      <c r="C56" s="202">
        <f t="shared" si="12"/>
        <v>0.41666666666666669</v>
      </c>
      <c r="D56" s="203"/>
      <c r="E56" s="216"/>
      <c r="F56" s="215"/>
      <c r="G56" s="215"/>
      <c r="H56" s="214"/>
      <c r="I56" s="207"/>
      <c r="J56" s="207"/>
      <c r="K56" s="208"/>
      <c r="L56" s="209"/>
      <c r="M56" s="210"/>
      <c r="N56" s="211"/>
      <c r="O56" s="212"/>
      <c r="P56" s="204"/>
      <c r="Q56" s="213"/>
      <c r="R56" s="3"/>
      <c r="S56" s="198">
        <f t="shared" si="3"/>
        <v>0</v>
      </c>
      <c r="T56" s="198">
        <f t="shared" si="4"/>
        <v>0</v>
      </c>
      <c r="U56" s="198">
        <f t="shared" si="5"/>
        <v>0</v>
      </c>
      <c r="V56" s="198">
        <f t="shared" si="6"/>
        <v>0</v>
      </c>
      <c r="W56" s="198">
        <f t="shared" si="7"/>
        <v>0</v>
      </c>
      <c r="X56" s="198">
        <f t="shared" si="8"/>
        <v>0</v>
      </c>
      <c r="Y56" s="198">
        <f t="shared" si="9"/>
        <v>0</v>
      </c>
      <c r="Z56" s="198">
        <f t="shared" si="10"/>
        <v>0</v>
      </c>
      <c r="AB56" s="200"/>
    </row>
    <row r="57" spans="1:28" s="199" customFormat="1" ht="29.25" customHeight="1">
      <c r="A57" s="201"/>
      <c r="B57" s="202">
        <f t="shared" si="11"/>
        <v>0.41666666666666669</v>
      </c>
      <c r="C57" s="202">
        <f t="shared" si="12"/>
        <v>0.45833333333333337</v>
      </c>
      <c r="D57" s="217"/>
      <c r="E57" s="216"/>
      <c r="F57" s="215"/>
      <c r="G57" s="215"/>
      <c r="H57" s="214"/>
      <c r="I57" s="207"/>
      <c r="J57" s="207"/>
      <c r="K57" s="208"/>
      <c r="L57" s="209"/>
      <c r="M57" s="210"/>
      <c r="N57" s="211"/>
      <c r="O57" s="212"/>
      <c r="P57" s="204"/>
      <c r="Q57" s="213"/>
      <c r="R57" s="3"/>
      <c r="S57" s="198">
        <f t="shared" si="3"/>
        <v>0</v>
      </c>
      <c r="T57" s="198">
        <f t="shared" si="4"/>
        <v>0</v>
      </c>
      <c r="U57" s="198">
        <f t="shared" si="5"/>
        <v>0</v>
      </c>
      <c r="V57" s="198">
        <f t="shared" si="6"/>
        <v>0</v>
      </c>
      <c r="W57" s="198">
        <f t="shared" si="7"/>
        <v>0</v>
      </c>
      <c r="X57" s="198">
        <f t="shared" si="8"/>
        <v>0</v>
      </c>
      <c r="Y57" s="198">
        <f t="shared" si="9"/>
        <v>0</v>
      </c>
      <c r="Z57" s="198">
        <f t="shared" si="10"/>
        <v>0</v>
      </c>
      <c r="AB57" s="200"/>
    </row>
    <row r="58" spans="1:28" s="199" customFormat="1" ht="29.25" customHeight="1" thickBot="1">
      <c r="A58" s="218"/>
      <c r="B58" s="219">
        <f t="shared" si="11"/>
        <v>0.45833333333333337</v>
      </c>
      <c r="C58" s="220">
        <f t="shared" si="12"/>
        <v>0.5</v>
      </c>
      <c r="D58" s="221"/>
      <c r="E58" s="221"/>
      <c r="F58" s="222"/>
      <c r="G58" s="222"/>
      <c r="H58" s="214"/>
      <c r="I58" s="223"/>
      <c r="J58" s="223"/>
      <c r="K58" s="224">
        <f t="shared" ref="K58:K111" si="13">(J58-I58+(J58&lt;I58))*24*60</f>
        <v>0</v>
      </c>
      <c r="L58" s="225"/>
      <c r="M58" s="226"/>
      <c r="N58" s="227"/>
      <c r="O58" s="204" t="str">
        <f t="shared" ref="O58:O113" si="14">IF(H58=$V$5,$F$7,"")</f>
        <v/>
      </c>
      <c r="P58" s="228"/>
      <c r="Q58" s="229"/>
      <c r="R58" s="3"/>
      <c r="S58" s="198">
        <f t="shared" si="3"/>
        <v>0</v>
      </c>
      <c r="T58" s="198">
        <f t="shared" si="4"/>
        <v>0</v>
      </c>
      <c r="U58" s="198">
        <f t="shared" si="5"/>
        <v>0</v>
      </c>
      <c r="V58" s="198">
        <f t="shared" si="6"/>
        <v>0</v>
      </c>
      <c r="W58" s="198">
        <f t="shared" si="7"/>
        <v>0</v>
      </c>
      <c r="X58" s="198">
        <f t="shared" si="8"/>
        <v>0</v>
      </c>
      <c r="Y58" s="198">
        <f t="shared" si="9"/>
        <v>0</v>
      </c>
      <c r="Z58" s="198">
        <f t="shared" si="10"/>
        <v>0</v>
      </c>
      <c r="AB58" s="200"/>
    </row>
    <row r="59" spans="1:28" s="199" customFormat="1" ht="29.25" customHeight="1" thickBot="1">
      <c r="A59" s="184" t="str">
        <f>A38</f>
        <v>Тыква Гранде</v>
      </c>
      <c r="B59" s="185">
        <f>B23</f>
        <v>0.33333333333333331</v>
      </c>
      <c r="C59" s="185">
        <f>B59+1/24</f>
        <v>0.375</v>
      </c>
      <c r="D59" s="186"/>
      <c r="E59" s="187"/>
      <c r="F59" s="188" t="s">
        <v>93</v>
      </c>
      <c r="G59" s="189"/>
      <c r="H59" s="190" t="s">
        <v>40</v>
      </c>
      <c r="I59" s="191">
        <v>0.375</v>
      </c>
      <c r="J59" s="191">
        <v>0.54166666666666663</v>
      </c>
      <c r="K59" s="192">
        <f>(J59-I59+(J59&lt;I59))*24*60</f>
        <v>239.99999999999994</v>
      </c>
      <c r="L59" s="193" t="s">
        <v>94</v>
      </c>
      <c r="M59" s="194"/>
      <c r="N59" s="195"/>
      <c r="O59" s="196" t="str">
        <f t="shared" si="14"/>
        <v/>
      </c>
      <c r="P59" s="187"/>
      <c r="Q59" s="197"/>
      <c r="R59" s="3"/>
      <c r="S59" s="198">
        <f t="shared" si="3"/>
        <v>0</v>
      </c>
      <c r="T59" s="198">
        <f t="shared" si="4"/>
        <v>0</v>
      </c>
      <c r="U59" s="198">
        <f t="shared" si="5"/>
        <v>0</v>
      </c>
      <c r="V59" s="198">
        <f t="shared" si="6"/>
        <v>0</v>
      </c>
      <c r="W59" s="198">
        <f t="shared" si="7"/>
        <v>0</v>
      </c>
      <c r="X59" s="198">
        <f t="shared" si="8"/>
        <v>0</v>
      </c>
      <c r="Y59" s="198">
        <f t="shared" si="9"/>
        <v>0</v>
      </c>
      <c r="Z59" s="198">
        <f t="shared" si="10"/>
        <v>239.99999999999994</v>
      </c>
      <c r="AB59" s="200"/>
    </row>
    <row r="60" spans="1:28" s="199" customFormat="1" ht="29.25" customHeight="1" thickBot="1">
      <c r="A60" s="201"/>
      <c r="B60" s="202">
        <f>C59</f>
        <v>0.375</v>
      </c>
      <c r="C60" s="202">
        <f>B60+1/24</f>
        <v>0.41666666666666669</v>
      </c>
      <c r="D60" s="203"/>
      <c r="E60" s="204"/>
      <c r="F60" s="215" t="s">
        <v>128</v>
      </c>
      <c r="G60" s="215"/>
      <c r="H60" s="190" t="s">
        <v>6</v>
      </c>
      <c r="I60" s="207">
        <v>0.54861111111111105</v>
      </c>
      <c r="J60" s="207">
        <v>0.55555555555555558</v>
      </c>
      <c r="K60" s="208">
        <f t="shared" si="13"/>
        <v>10.000000000000124</v>
      </c>
      <c r="L60" s="209"/>
      <c r="M60" s="210"/>
      <c r="N60" s="211"/>
      <c r="O60" s="212" t="str">
        <f t="shared" si="14"/>
        <v/>
      </c>
      <c r="P60" s="204"/>
      <c r="Q60" s="213"/>
      <c r="R60" s="3"/>
      <c r="S60" s="198">
        <f t="shared" si="3"/>
        <v>10.000000000000124</v>
      </c>
      <c r="T60" s="198">
        <f t="shared" si="4"/>
        <v>0</v>
      </c>
      <c r="U60" s="198">
        <f t="shared" si="5"/>
        <v>0</v>
      </c>
      <c r="V60" s="198">
        <f t="shared" si="6"/>
        <v>0</v>
      </c>
      <c r="W60" s="198">
        <f t="shared" si="7"/>
        <v>0</v>
      </c>
      <c r="X60" s="198">
        <f t="shared" si="8"/>
        <v>0</v>
      </c>
      <c r="Y60" s="198">
        <f t="shared" si="9"/>
        <v>0</v>
      </c>
      <c r="Z60" s="198">
        <f t="shared" si="10"/>
        <v>0</v>
      </c>
      <c r="AB60" s="200"/>
    </row>
    <row r="61" spans="1:28" s="199" customFormat="1" ht="29.25" customHeight="1" thickBot="1">
      <c r="A61" s="201"/>
      <c r="B61" s="202">
        <f t="shared" ref="B61:B69" si="15">C60</f>
        <v>0.41666666666666669</v>
      </c>
      <c r="C61" s="202">
        <f t="shared" ref="C61:C69" si="16">B61+1/24</f>
        <v>0.45833333333333337</v>
      </c>
      <c r="D61" s="203"/>
      <c r="E61" s="204"/>
      <c r="F61" s="215" t="s">
        <v>129</v>
      </c>
      <c r="G61" s="215"/>
      <c r="H61" s="190" t="s">
        <v>6</v>
      </c>
      <c r="I61" s="207">
        <v>0.55555555555555558</v>
      </c>
      <c r="J61" s="207">
        <v>0.5625</v>
      </c>
      <c r="K61" s="208">
        <f t="shared" si="13"/>
        <v>9.9999999999999645</v>
      </c>
      <c r="L61" s="209"/>
      <c r="M61" s="210"/>
      <c r="N61" s="211"/>
      <c r="O61" s="212" t="str">
        <f t="shared" si="14"/>
        <v/>
      </c>
      <c r="P61" s="204"/>
      <c r="Q61" s="213"/>
      <c r="R61" s="3"/>
      <c r="S61" s="198">
        <f t="shared" si="3"/>
        <v>9.9999999999999645</v>
      </c>
      <c r="T61" s="198">
        <f t="shared" si="4"/>
        <v>0</v>
      </c>
      <c r="U61" s="198">
        <f t="shared" si="5"/>
        <v>0</v>
      </c>
      <c r="V61" s="198">
        <f t="shared" si="6"/>
        <v>0</v>
      </c>
      <c r="W61" s="198">
        <f t="shared" si="7"/>
        <v>0</v>
      </c>
      <c r="X61" s="198">
        <f t="shared" si="8"/>
        <v>0</v>
      </c>
      <c r="Y61" s="198">
        <f t="shared" si="9"/>
        <v>0</v>
      </c>
      <c r="Z61" s="198">
        <f t="shared" si="10"/>
        <v>0</v>
      </c>
      <c r="AB61" s="200"/>
    </row>
    <row r="62" spans="1:28" s="199" customFormat="1" ht="29.25" customHeight="1">
      <c r="A62" s="201"/>
      <c r="B62" s="202">
        <f t="shared" si="15"/>
        <v>0.45833333333333337</v>
      </c>
      <c r="C62" s="202">
        <f t="shared" si="16"/>
        <v>0.5</v>
      </c>
      <c r="D62" s="203"/>
      <c r="E62" s="204"/>
      <c r="F62" s="215" t="s">
        <v>130</v>
      </c>
      <c r="G62" s="215"/>
      <c r="H62" s="190" t="s">
        <v>6</v>
      </c>
      <c r="I62" s="207">
        <v>0.5625</v>
      </c>
      <c r="J62" s="207">
        <v>0.58333333333333337</v>
      </c>
      <c r="K62" s="208">
        <f t="shared" si="13"/>
        <v>30.000000000000053</v>
      </c>
      <c r="L62" s="209"/>
      <c r="M62" s="210"/>
      <c r="N62" s="211"/>
      <c r="O62" s="212" t="str">
        <f t="shared" si="14"/>
        <v/>
      </c>
      <c r="P62" s="204"/>
      <c r="Q62" s="213"/>
      <c r="R62" s="3"/>
      <c r="S62" s="198">
        <f t="shared" si="3"/>
        <v>30.000000000000053</v>
      </c>
      <c r="T62" s="198">
        <f t="shared" si="4"/>
        <v>0</v>
      </c>
      <c r="U62" s="198">
        <f t="shared" si="5"/>
        <v>0</v>
      </c>
      <c r="V62" s="198">
        <f t="shared" si="6"/>
        <v>0</v>
      </c>
      <c r="W62" s="198">
        <f t="shared" si="7"/>
        <v>0</v>
      </c>
      <c r="X62" s="198">
        <f t="shared" si="8"/>
        <v>0</v>
      </c>
      <c r="Y62" s="198">
        <f t="shared" si="9"/>
        <v>0</v>
      </c>
      <c r="Z62" s="198">
        <f t="shared" si="10"/>
        <v>0</v>
      </c>
      <c r="AB62" s="200"/>
    </row>
    <row r="63" spans="1:28" s="199" customFormat="1" ht="29.25" customHeight="1">
      <c r="A63" s="201"/>
      <c r="B63" s="202">
        <f t="shared" si="15"/>
        <v>0.5</v>
      </c>
      <c r="C63" s="202">
        <f t="shared" si="16"/>
        <v>0.54166666666666663</v>
      </c>
      <c r="D63" s="203"/>
      <c r="E63" s="204"/>
      <c r="F63" s="215" t="s">
        <v>131</v>
      </c>
      <c r="G63" s="215"/>
      <c r="H63" s="214" t="s">
        <v>12</v>
      </c>
      <c r="I63" s="207">
        <v>0.6791666666666667</v>
      </c>
      <c r="J63" s="207">
        <v>0.69305555555555554</v>
      </c>
      <c r="K63" s="208">
        <f t="shared" si="13"/>
        <v>19.999999999999929</v>
      </c>
      <c r="L63" s="209"/>
      <c r="M63" s="210"/>
      <c r="N63" s="211"/>
      <c r="O63" s="212" t="str">
        <f t="shared" si="14"/>
        <v/>
      </c>
      <c r="P63" s="204"/>
      <c r="Q63" s="213"/>
      <c r="R63" s="3"/>
      <c r="S63" s="198">
        <f t="shared" si="3"/>
        <v>0</v>
      </c>
      <c r="T63" s="198">
        <f t="shared" si="4"/>
        <v>19.999999999999929</v>
      </c>
      <c r="U63" s="198">
        <f t="shared" si="5"/>
        <v>0</v>
      </c>
      <c r="V63" s="198">
        <f t="shared" si="6"/>
        <v>0</v>
      </c>
      <c r="W63" s="198">
        <f t="shared" si="7"/>
        <v>0</v>
      </c>
      <c r="X63" s="198">
        <f t="shared" si="8"/>
        <v>0</v>
      </c>
      <c r="Y63" s="198">
        <f t="shared" si="9"/>
        <v>0</v>
      </c>
      <c r="Z63" s="198">
        <f t="shared" si="10"/>
        <v>0</v>
      </c>
      <c r="AB63" s="200"/>
    </row>
    <row r="64" spans="1:28" s="199" customFormat="1" ht="29.25" customHeight="1">
      <c r="A64" s="201"/>
      <c r="B64" s="202">
        <f t="shared" si="15"/>
        <v>0.54166666666666663</v>
      </c>
      <c r="C64" s="202">
        <f t="shared" si="16"/>
        <v>0.58333333333333326</v>
      </c>
      <c r="D64" s="203"/>
      <c r="E64" s="204"/>
      <c r="F64" s="215"/>
      <c r="G64" s="215"/>
      <c r="H64" s="214"/>
      <c r="I64" s="207"/>
      <c r="J64" s="207"/>
      <c r="K64" s="208">
        <f t="shared" si="13"/>
        <v>0</v>
      </c>
      <c r="L64" s="209"/>
      <c r="M64" s="210"/>
      <c r="N64" s="211"/>
      <c r="O64" s="212" t="str">
        <f t="shared" si="14"/>
        <v/>
      </c>
      <c r="P64" s="204"/>
      <c r="Q64" s="213"/>
      <c r="R64" s="3"/>
      <c r="S64" s="198">
        <f t="shared" si="3"/>
        <v>0</v>
      </c>
      <c r="T64" s="198">
        <f t="shared" si="4"/>
        <v>0</v>
      </c>
      <c r="U64" s="198">
        <f t="shared" si="5"/>
        <v>0</v>
      </c>
      <c r="V64" s="198">
        <f t="shared" si="6"/>
        <v>0</v>
      </c>
      <c r="W64" s="198">
        <f t="shared" si="7"/>
        <v>0</v>
      </c>
      <c r="X64" s="198">
        <f t="shared" si="8"/>
        <v>0</v>
      </c>
      <c r="Y64" s="198">
        <f t="shared" si="9"/>
        <v>0</v>
      </c>
      <c r="Z64" s="198">
        <f t="shared" si="10"/>
        <v>0</v>
      </c>
      <c r="AB64" s="200"/>
    </row>
    <row r="65" spans="1:28" s="199" customFormat="1" ht="29.25" customHeight="1">
      <c r="A65" s="201"/>
      <c r="B65" s="202">
        <f t="shared" si="15"/>
        <v>0.58333333333333326</v>
      </c>
      <c r="C65" s="202">
        <f t="shared" si="16"/>
        <v>0.62499999999999989</v>
      </c>
      <c r="D65" s="203"/>
      <c r="E65" s="216"/>
      <c r="F65" s="215"/>
      <c r="G65" s="215"/>
      <c r="H65" s="214"/>
      <c r="I65" s="207"/>
      <c r="J65" s="207"/>
      <c r="K65" s="208">
        <f t="shared" si="13"/>
        <v>0</v>
      </c>
      <c r="L65" s="209"/>
      <c r="M65" s="210"/>
      <c r="N65" s="211"/>
      <c r="O65" s="212" t="str">
        <f t="shared" si="14"/>
        <v/>
      </c>
      <c r="P65" s="204"/>
      <c r="Q65" s="213"/>
      <c r="R65" s="3"/>
      <c r="S65" s="198">
        <f t="shared" si="3"/>
        <v>0</v>
      </c>
      <c r="T65" s="198">
        <f t="shared" si="4"/>
        <v>0</v>
      </c>
      <c r="U65" s="198">
        <f t="shared" si="5"/>
        <v>0</v>
      </c>
      <c r="V65" s="198">
        <f t="shared" si="6"/>
        <v>0</v>
      </c>
      <c r="W65" s="198">
        <f t="shared" si="7"/>
        <v>0</v>
      </c>
      <c r="X65" s="198">
        <f t="shared" si="8"/>
        <v>0</v>
      </c>
      <c r="Y65" s="198">
        <f t="shared" si="9"/>
        <v>0</v>
      </c>
      <c r="Z65" s="198">
        <f t="shared" si="10"/>
        <v>0</v>
      </c>
      <c r="AB65" s="200"/>
    </row>
    <row r="66" spans="1:28" s="199" customFormat="1" ht="29.25" customHeight="1">
      <c r="A66" s="201"/>
      <c r="B66" s="202">
        <f t="shared" si="15"/>
        <v>0.62499999999999989</v>
      </c>
      <c r="C66" s="202">
        <f t="shared" si="16"/>
        <v>0.66666666666666652</v>
      </c>
      <c r="D66" s="203"/>
      <c r="E66" s="216"/>
      <c r="F66" s="205"/>
      <c r="G66" s="206"/>
      <c r="H66" s="214"/>
      <c r="I66" s="207"/>
      <c r="J66" s="207"/>
      <c r="K66" s="208">
        <f t="shared" si="13"/>
        <v>0</v>
      </c>
      <c r="L66" s="209"/>
      <c r="M66" s="210"/>
      <c r="N66" s="211"/>
      <c r="O66" s="212" t="str">
        <f t="shared" si="14"/>
        <v/>
      </c>
      <c r="P66" s="204"/>
      <c r="Q66" s="213"/>
      <c r="R66" s="3"/>
      <c r="S66" s="198">
        <f t="shared" si="3"/>
        <v>0</v>
      </c>
      <c r="T66" s="198">
        <f t="shared" si="4"/>
        <v>0</v>
      </c>
      <c r="U66" s="198">
        <f t="shared" si="5"/>
        <v>0</v>
      </c>
      <c r="V66" s="198">
        <f t="shared" si="6"/>
        <v>0</v>
      </c>
      <c r="W66" s="198">
        <f t="shared" si="7"/>
        <v>0</v>
      </c>
      <c r="X66" s="198">
        <f t="shared" si="8"/>
        <v>0</v>
      </c>
      <c r="Y66" s="198">
        <f t="shared" si="9"/>
        <v>0</v>
      </c>
      <c r="Z66" s="198">
        <f t="shared" si="10"/>
        <v>0</v>
      </c>
      <c r="AB66" s="200"/>
    </row>
    <row r="67" spans="1:28" s="199" customFormat="1" ht="29.25" customHeight="1">
      <c r="A67" s="201"/>
      <c r="B67" s="202">
        <f t="shared" si="15"/>
        <v>0.66666666666666652</v>
      </c>
      <c r="C67" s="202">
        <f t="shared" si="16"/>
        <v>0.70833333333333315</v>
      </c>
      <c r="D67" s="203"/>
      <c r="E67" s="216"/>
      <c r="F67" s="205"/>
      <c r="G67" s="206"/>
      <c r="H67" s="214"/>
      <c r="I67" s="207"/>
      <c r="J67" s="207"/>
      <c r="K67" s="208">
        <f t="shared" si="13"/>
        <v>0</v>
      </c>
      <c r="L67" s="209"/>
      <c r="M67" s="210"/>
      <c r="N67" s="211"/>
      <c r="O67" s="212" t="str">
        <f t="shared" si="14"/>
        <v/>
      </c>
      <c r="P67" s="204"/>
      <c r="Q67" s="213"/>
      <c r="R67" s="3"/>
      <c r="S67" s="198">
        <f t="shared" si="3"/>
        <v>0</v>
      </c>
      <c r="T67" s="198">
        <f t="shared" si="4"/>
        <v>0</v>
      </c>
      <c r="U67" s="198">
        <f t="shared" si="5"/>
        <v>0</v>
      </c>
      <c r="V67" s="198">
        <f t="shared" si="6"/>
        <v>0</v>
      </c>
      <c r="W67" s="198">
        <f t="shared" si="7"/>
        <v>0</v>
      </c>
      <c r="X67" s="198">
        <f t="shared" si="8"/>
        <v>0</v>
      </c>
      <c r="Y67" s="198">
        <f t="shared" si="9"/>
        <v>0</v>
      </c>
      <c r="Z67" s="198">
        <f t="shared" si="10"/>
        <v>0</v>
      </c>
      <c r="AB67" s="200"/>
    </row>
    <row r="68" spans="1:28" s="199" customFormat="1" ht="29.25" customHeight="1">
      <c r="A68" s="201"/>
      <c r="B68" s="202">
        <f t="shared" si="15"/>
        <v>0.70833333333333315</v>
      </c>
      <c r="C68" s="202">
        <f t="shared" si="16"/>
        <v>0.74999999999999978</v>
      </c>
      <c r="D68" s="203"/>
      <c r="E68" s="216"/>
      <c r="F68" s="215"/>
      <c r="G68" s="215"/>
      <c r="H68" s="214"/>
      <c r="I68" s="207"/>
      <c r="J68" s="207"/>
      <c r="K68" s="208">
        <f t="shared" si="13"/>
        <v>0</v>
      </c>
      <c r="L68" s="209"/>
      <c r="M68" s="210"/>
      <c r="N68" s="211"/>
      <c r="O68" s="212" t="str">
        <f t="shared" si="14"/>
        <v/>
      </c>
      <c r="P68" s="204"/>
      <c r="Q68" s="213"/>
      <c r="R68" s="3"/>
      <c r="S68" s="198">
        <f t="shared" si="3"/>
        <v>0</v>
      </c>
      <c r="T68" s="198">
        <f t="shared" si="4"/>
        <v>0</v>
      </c>
      <c r="U68" s="198">
        <f t="shared" si="5"/>
        <v>0</v>
      </c>
      <c r="V68" s="198">
        <f t="shared" si="6"/>
        <v>0</v>
      </c>
      <c r="W68" s="198">
        <f t="shared" si="7"/>
        <v>0</v>
      </c>
      <c r="X68" s="198">
        <f t="shared" si="8"/>
        <v>0</v>
      </c>
      <c r="Y68" s="198">
        <f t="shared" si="9"/>
        <v>0</v>
      </c>
      <c r="Z68" s="198">
        <f t="shared" si="10"/>
        <v>0</v>
      </c>
      <c r="AB68" s="200"/>
    </row>
    <row r="69" spans="1:28" s="199" customFormat="1" ht="29.25" customHeight="1" thickBot="1">
      <c r="A69" s="218"/>
      <c r="B69" s="219">
        <f t="shared" si="15"/>
        <v>0.74999999999999978</v>
      </c>
      <c r="C69" s="219">
        <f t="shared" si="16"/>
        <v>0.79166666666666641</v>
      </c>
      <c r="D69" s="230"/>
      <c r="E69" s="221"/>
      <c r="F69" s="222"/>
      <c r="G69" s="222"/>
      <c r="H69" s="231"/>
      <c r="I69" s="223"/>
      <c r="J69" s="223"/>
      <c r="K69" s="224">
        <f t="shared" si="13"/>
        <v>0</v>
      </c>
      <c r="L69" s="225"/>
      <c r="M69" s="226"/>
      <c r="N69" s="227"/>
      <c r="O69" s="204" t="str">
        <f t="shared" si="14"/>
        <v/>
      </c>
      <c r="P69" s="228"/>
      <c r="Q69" s="229"/>
      <c r="R69" s="3"/>
      <c r="S69" s="198">
        <f t="shared" si="3"/>
        <v>0</v>
      </c>
      <c r="T69" s="198">
        <f t="shared" si="4"/>
        <v>0</v>
      </c>
      <c r="U69" s="198">
        <f t="shared" si="5"/>
        <v>0</v>
      </c>
      <c r="V69" s="198">
        <f t="shared" si="6"/>
        <v>0</v>
      </c>
      <c r="W69" s="198">
        <f t="shared" si="7"/>
        <v>0</v>
      </c>
      <c r="X69" s="198">
        <f t="shared" si="8"/>
        <v>0</v>
      </c>
      <c r="Y69" s="198">
        <f t="shared" si="9"/>
        <v>0</v>
      </c>
      <c r="Z69" s="198">
        <f t="shared" si="10"/>
        <v>0</v>
      </c>
      <c r="AB69" s="200"/>
    </row>
    <row r="70" spans="1:28" s="199" customFormat="1" ht="29.25" customHeight="1">
      <c r="A70" s="184">
        <f>A39</f>
        <v>0</v>
      </c>
      <c r="B70" s="185">
        <f>B25</f>
        <v>0</v>
      </c>
      <c r="C70" s="185">
        <f>B70+1/24</f>
        <v>4.1666666666666664E-2</v>
      </c>
      <c r="D70" s="186"/>
      <c r="E70" s="187"/>
      <c r="F70" s="188"/>
      <c r="G70" s="189"/>
      <c r="H70" s="190"/>
      <c r="I70" s="191"/>
      <c r="J70" s="191"/>
      <c r="K70" s="192">
        <f t="shared" si="13"/>
        <v>0</v>
      </c>
      <c r="L70" s="193"/>
      <c r="M70" s="194"/>
      <c r="N70" s="195"/>
      <c r="O70" s="196" t="str">
        <f t="shared" si="14"/>
        <v/>
      </c>
      <c r="P70" s="187"/>
      <c r="Q70" s="197"/>
      <c r="R70" s="3"/>
      <c r="S70" s="198">
        <f t="shared" si="3"/>
        <v>0</v>
      </c>
      <c r="T70" s="198">
        <f t="shared" si="4"/>
        <v>0</v>
      </c>
      <c r="U70" s="198">
        <f t="shared" si="5"/>
        <v>0</v>
      </c>
      <c r="V70" s="198">
        <f t="shared" si="6"/>
        <v>0</v>
      </c>
      <c r="W70" s="198">
        <f t="shared" si="7"/>
        <v>0</v>
      </c>
      <c r="X70" s="198">
        <f t="shared" si="8"/>
        <v>0</v>
      </c>
      <c r="Y70" s="198">
        <f t="shared" si="9"/>
        <v>0</v>
      </c>
      <c r="Z70" s="198">
        <f t="shared" si="10"/>
        <v>0</v>
      </c>
      <c r="AB70" s="200"/>
    </row>
    <row r="71" spans="1:28" s="199" customFormat="1" ht="29.25" customHeight="1">
      <c r="A71" s="201"/>
      <c r="B71" s="202">
        <f>C70</f>
        <v>4.1666666666666664E-2</v>
      </c>
      <c r="C71" s="202">
        <f>B71+1/24</f>
        <v>8.3333333333333329E-2</v>
      </c>
      <c r="D71" s="203"/>
      <c r="E71" s="204"/>
      <c r="F71" s="205"/>
      <c r="G71" s="206"/>
      <c r="H71" s="214"/>
      <c r="I71" s="207"/>
      <c r="J71" s="207"/>
      <c r="K71" s="208">
        <f t="shared" si="13"/>
        <v>0</v>
      </c>
      <c r="L71" s="209"/>
      <c r="M71" s="210"/>
      <c r="N71" s="211"/>
      <c r="O71" s="212" t="str">
        <f t="shared" si="14"/>
        <v/>
      </c>
      <c r="P71" s="204"/>
      <c r="Q71" s="213"/>
      <c r="R71" s="3"/>
      <c r="S71" s="198">
        <f t="shared" si="3"/>
        <v>0</v>
      </c>
      <c r="T71" s="198">
        <f t="shared" si="4"/>
        <v>0</v>
      </c>
      <c r="U71" s="198">
        <f t="shared" si="5"/>
        <v>0</v>
      </c>
      <c r="V71" s="198">
        <f t="shared" si="6"/>
        <v>0</v>
      </c>
      <c r="W71" s="198">
        <f t="shared" si="7"/>
        <v>0</v>
      </c>
      <c r="X71" s="198">
        <f t="shared" si="8"/>
        <v>0</v>
      </c>
      <c r="Y71" s="198">
        <f t="shared" si="9"/>
        <v>0</v>
      </c>
      <c r="Z71" s="198">
        <f t="shared" si="10"/>
        <v>0</v>
      </c>
      <c r="AB71" s="200"/>
    </row>
    <row r="72" spans="1:28" s="199" customFormat="1" ht="29.25" customHeight="1">
      <c r="A72" s="201"/>
      <c r="B72" s="202">
        <f t="shared" ref="B72:B80" si="17">C71</f>
        <v>8.3333333333333329E-2</v>
      </c>
      <c r="C72" s="202">
        <f t="shared" ref="C72:C80" si="18">B72+1/24</f>
        <v>0.125</v>
      </c>
      <c r="D72" s="203"/>
      <c r="E72" s="204"/>
      <c r="F72" s="215"/>
      <c r="G72" s="215"/>
      <c r="H72" s="214"/>
      <c r="I72" s="207"/>
      <c r="J72" s="207"/>
      <c r="K72" s="208">
        <f t="shared" si="13"/>
        <v>0</v>
      </c>
      <c r="L72" s="209"/>
      <c r="M72" s="210"/>
      <c r="N72" s="211"/>
      <c r="O72" s="212" t="str">
        <f t="shared" si="14"/>
        <v/>
      </c>
      <c r="P72" s="204"/>
      <c r="Q72" s="213"/>
      <c r="R72" s="3"/>
      <c r="S72" s="198">
        <f t="shared" si="3"/>
        <v>0</v>
      </c>
      <c r="T72" s="198">
        <f t="shared" si="4"/>
        <v>0</v>
      </c>
      <c r="U72" s="198">
        <f t="shared" si="5"/>
        <v>0</v>
      </c>
      <c r="V72" s="198">
        <f t="shared" si="6"/>
        <v>0</v>
      </c>
      <c r="W72" s="198">
        <f t="shared" si="7"/>
        <v>0</v>
      </c>
      <c r="X72" s="198">
        <f t="shared" si="8"/>
        <v>0</v>
      </c>
      <c r="Y72" s="198">
        <f t="shared" si="9"/>
        <v>0</v>
      </c>
      <c r="Z72" s="198">
        <f t="shared" si="10"/>
        <v>0</v>
      </c>
      <c r="AB72" s="200"/>
    </row>
    <row r="73" spans="1:28" s="199" customFormat="1" ht="29.25" customHeight="1">
      <c r="A73" s="201"/>
      <c r="B73" s="202">
        <f t="shared" si="17"/>
        <v>0.125</v>
      </c>
      <c r="C73" s="202">
        <f t="shared" si="18"/>
        <v>0.16666666666666666</v>
      </c>
      <c r="D73" s="203"/>
      <c r="E73" s="204"/>
      <c r="F73" s="215"/>
      <c r="G73" s="215"/>
      <c r="H73" s="214"/>
      <c r="I73" s="207"/>
      <c r="J73" s="207"/>
      <c r="K73" s="208">
        <f t="shared" si="13"/>
        <v>0</v>
      </c>
      <c r="L73" s="209"/>
      <c r="M73" s="210"/>
      <c r="N73" s="211"/>
      <c r="O73" s="212" t="str">
        <f t="shared" si="14"/>
        <v/>
      </c>
      <c r="P73" s="204"/>
      <c r="Q73" s="213"/>
      <c r="R73" s="3"/>
      <c r="S73" s="198">
        <f t="shared" si="3"/>
        <v>0</v>
      </c>
      <c r="T73" s="198">
        <f t="shared" si="4"/>
        <v>0</v>
      </c>
      <c r="U73" s="198">
        <f t="shared" si="5"/>
        <v>0</v>
      </c>
      <c r="V73" s="198">
        <f t="shared" si="6"/>
        <v>0</v>
      </c>
      <c r="W73" s="198">
        <f t="shared" si="7"/>
        <v>0</v>
      </c>
      <c r="X73" s="198">
        <f t="shared" si="8"/>
        <v>0</v>
      </c>
      <c r="Y73" s="198">
        <f t="shared" si="9"/>
        <v>0</v>
      </c>
      <c r="Z73" s="198">
        <f t="shared" si="10"/>
        <v>0</v>
      </c>
      <c r="AB73" s="200"/>
    </row>
    <row r="74" spans="1:28" s="199" customFormat="1" ht="29.25" customHeight="1">
      <c r="A74" s="201"/>
      <c r="B74" s="202">
        <f t="shared" si="17"/>
        <v>0.16666666666666666</v>
      </c>
      <c r="C74" s="202">
        <f t="shared" si="18"/>
        <v>0.20833333333333331</v>
      </c>
      <c r="D74" s="203"/>
      <c r="E74" s="204"/>
      <c r="F74" s="215"/>
      <c r="G74" s="215"/>
      <c r="H74" s="214"/>
      <c r="I74" s="207"/>
      <c r="J74" s="207"/>
      <c r="K74" s="208">
        <f t="shared" si="13"/>
        <v>0</v>
      </c>
      <c r="L74" s="209"/>
      <c r="M74" s="210"/>
      <c r="N74" s="211"/>
      <c r="O74" s="212" t="str">
        <f t="shared" si="14"/>
        <v/>
      </c>
      <c r="P74" s="204"/>
      <c r="Q74" s="213"/>
      <c r="R74" s="3"/>
      <c r="S74" s="198">
        <f t="shared" si="3"/>
        <v>0</v>
      </c>
      <c r="T74" s="198">
        <f t="shared" si="4"/>
        <v>0</v>
      </c>
      <c r="U74" s="198">
        <f t="shared" si="5"/>
        <v>0</v>
      </c>
      <c r="V74" s="198">
        <f t="shared" si="6"/>
        <v>0</v>
      </c>
      <c r="W74" s="198">
        <f t="shared" si="7"/>
        <v>0</v>
      </c>
      <c r="X74" s="198">
        <f t="shared" si="8"/>
        <v>0</v>
      </c>
      <c r="Y74" s="198">
        <f t="shared" si="9"/>
        <v>0</v>
      </c>
      <c r="Z74" s="198">
        <f t="shared" si="10"/>
        <v>0</v>
      </c>
      <c r="AB74" s="200"/>
    </row>
    <row r="75" spans="1:28" s="199" customFormat="1" ht="29.25" customHeight="1">
      <c r="A75" s="201"/>
      <c r="B75" s="202">
        <f t="shared" si="17"/>
        <v>0.20833333333333331</v>
      </c>
      <c r="C75" s="202">
        <f t="shared" si="18"/>
        <v>0.24999999999999997</v>
      </c>
      <c r="D75" s="203"/>
      <c r="E75" s="204"/>
      <c r="F75" s="215"/>
      <c r="G75" s="215"/>
      <c r="H75" s="214"/>
      <c r="I75" s="207"/>
      <c r="J75" s="207"/>
      <c r="K75" s="208">
        <f t="shared" si="13"/>
        <v>0</v>
      </c>
      <c r="L75" s="209"/>
      <c r="M75" s="210"/>
      <c r="N75" s="211"/>
      <c r="O75" s="212" t="str">
        <f t="shared" si="14"/>
        <v/>
      </c>
      <c r="P75" s="204"/>
      <c r="Q75" s="213"/>
      <c r="R75" s="3"/>
      <c r="S75" s="198">
        <f t="shared" si="3"/>
        <v>0</v>
      </c>
      <c r="T75" s="198">
        <f t="shared" si="4"/>
        <v>0</v>
      </c>
      <c r="U75" s="198">
        <f t="shared" si="5"/>
        <v>0</v>
      </c>
      <c r="V75" s="198">
        <f t="shared" si="6"/>
        <v>0</v>
      </c>
      <c r="W75" s="198">
        <f t="shared" si="7"/>
        <v>0</v>
      </c>
      <c r="X75" s="198">
        <f t="shared" si="8"/>
        <v>0</v>
      </c>
      <c r="Y75" s="198">
        <f t="shared" si="9"/>
        <v>0</v>
      </c>
      <c r="Z75" s="198">
        <f t="shared" si="10"/>
        <v>0</v>
      </c>
      <c r="AB75" s="200"/>
    </row>
    <row r="76" spans="1:28" s="199" customFormat="1" ht="29.25" customHeight="1">
      <c r="A76" s="201"/>
      <c r="B76" s="202">
        <f t="shared" si="17"/>
        <v>0.24999999999999997</v>
      </c>
      <c r="C76" s="202">
        <f t="shared" si="18"/>
        <v>0.29166666666666663</v>
      </c>
      <c r="D76" s="203"/>
      <c r="E76" s="216"/>
      <c r="F76" s="215"/>
      <c r="G76" s="215"/>
      <c r="H76" s="214"/>
      <c r="I76" s="207"/>
      <c r="J76" s="207"/>
      <c r="K76" s="208">
        <f t="shared" si="13"/>
        <v>0</v>
      </c>
      <c r="L76" s="209"/>
      <c r="M76" s="210"/>
      <c r="N76" s="211"/>
      <c r="O76" s="212" t="str">
        <f t="shared" si="14"/>
        <v/>
      </c>
      <c r="P76" s="204"/>
      <c r="Q76" s="213"/>
      <c r="R76" s="3"/>
      <c r="S76" s="198">
        <f t="shared" si="3"/>
        <v>0</v>
      </c>
      <c r="T76" s="198">
        <f t="shared" si="4"/>
        <v>0</v>
      </c>
      <c r="U76" s="198">
        <f t="shared" si="5"/>
        <v>0</v>
      </c>
      <c r="V76" s="198">
        <f t="shared" si="6"/>
        <v>0</v>
      </c>
      <c r="W76" s="198">
        <f t="shared" si="7"/>
        <v>0</v>
      </c>
      <c r="X76" s="198">
        <f t="shared" si="8"/>
        <v>0</v>
      </c>
      <c r="Y76" s="198">
        <f t="shared" si="9"/>
        <v>0</v>
      </c>
      <c r="Z76" s="198">
        <f t="shared" si="10"/>
        <v>0</v>
      </c>
      <c r="AB76" s="200"/>
    </row>
    <row r="77" spans="1:28" s="199" customFormat="1" ht="29.25" customHeight="1">
      <c r="A77" s="201"/>
      <c r="B77" s="202">
        <f t="shared" si="17"/>
        <v>0.29166666666666663</v>
      </c>
      <c r="C77" s="202">
        <f t="shared" si="18"/>
        <v>0.33333333333333331</v>
      </c>
      <c r="D77" s="203"/>
      <c r="E77" s="216"/>
      <c r="F77" s="205"/>
      <c r="G77" s="206"/>
      <c r="H77" s="214"/>
      <c r="I77" s="207"/>
      <c r="J77" s="207"/>
      <c r="K77" s="208">
        <f t="shared" si="13"/>
        <v>0</v>
      </c>
      <c r="L77" s="209"/>
      <c r="M77" s="210"/>
      <c r="N77" s="211"/>
      <c r="O77" s="212" t="str">
        <f t="shared" si="14"/>
        <v/>
      </c>
      <c r="P77" s="204"/>
      <c r="Q77" s="213"/>
      <c r="R77" s="3"/>
      <c r="S77" s="198">
        <f t="shared" si="3"/>
        <v>0</v>
      </c>
      <c r="T77" s="198">
        <f t="shared" si="4"/>
        <v>0</v>
      </c>
      <c r="U77" s="198">
        <f t="shared" si="5"/>
        <v>0</v>
      </c>
      <c r="V77" s="198">
        <f t="shared" si="6"/>
        <v>0</v>
      </c>
      <c r="W77" s="198">
        <f t="shared" si="7"/>
        <v>0</v>
      </c>
      <c r="X77" s="198">
        <f t="shared" si="8"/>
        <v>0</v>
      </c>
      <c r="Y77" s="198">
        <f t="shared" si="9"/>
        <v>0</v>
      </c>
      <c r="Z77" s="198">
        <f t="shared" si="10"/>
        <v>0</v>
      </c>
      <c r="AB77" s="200"/>
    </row>
    <row r="78" spans="1:28" s="199" customFormat="1" ht="29.25" customHeight="1">
      <c r="A78" s="201"/>
      <c r="B78" s="202">
        <f t="shared" si="17"/>
        <v>0.33333333333333331</v>
      </c>
      <c r="C78" s="202">
        <f t="shared" si="18"/>
        <v>0.375</v>
      </c>
      <c r="D78" s="203"/>
      <c r="E78" s="216"/>
      <c r="F78" s="205"/>
      <c r="G78" s="206"/>
      <c r="H78" s="214"/>
      <c r="I78" s="207"/>
      <c r="J78" s="207"/>
      <c r="K78" s="208">
        <f t="shared" si="13"/>
        <v>0</v>
      </c>
      <c r="L78" s="209"/>
      <c r="M78" s="210"/>
      <c r="N78" s="211"/>
      <c r="O78" s="212" t="str">
        <f t="shared" si="14"/>
        <v/>
      </c>
      <c r="P78" s="204"/>
      <c r="Q78" s="213"/>
      <c r="R78" s="3"/>
      <c r="S78" s="198">
        <f t="shared" si="3"/>
        <v>0</v>
      </c>
      <c r="T78" s="198">
        <f t="shared" si="4"/>
        <v>0</v>
      </c>
      <c r="U78" s="198">
        <f t="shared" si="5"/>
        <v>0</v>
      </c>
      <c r="V78" s="198">
        <f t="shared" si="6"/>
        <v>0</v>
      </c>
      <c r="W78" s="198">
        <f t="shared" si="7"/>
        <v>0</v>
      </c>
      <c r="X78" s="198">
        <f t="shared" si="8"/>
        <v>0</v>
      </c>
      <c r="Y78" s="198">
        <f t="shared" si="9"/>
        <v>0</v>
      </c>
      <c r="Z78" s="198">
        <f t="shared" si="10"/>
        <v>0</v>
      </c>
      <c r="AB78" s="200"/>
    </row>
    <row r="79" spans="1:28" ht="29.25" customHeight="1">
      <c r="A79" s="201"/>
      <c r="B79" s="202">
        <f t="shared" si="17"/>
        <v>0.375</v>
      </c>
      <c r="C79" s="202">
        <f t="shared" si="18"/>
        <v>0.41666666666666669</v>
      </c>
      <c r="D79" s="203"/>
      <c r="E79" s="216"/>
      <c r="F79" s="215"/>
      <c r="G79" s="215"/>
      <c r="H79" s="214"/>
      <c r="I79" s="207"/>
      <c r="J79" s="207"/>
      <c r="K79" s="208">
        <f t="shared" si="13"/>
        <v>0</v>
      </c>
      <c r="L79" s="209"/>
      <c r="M79" s="210"/>
      <c r="N79" s="211"/>
      <c r="O79" s="212" t="str">
        <f t="shared" si="14"/>
        <v/>
      </c>
      <c r="P79" s="204"/>
      <c r="Q79" s="213"/>
      <c r="S79" s="198">
        <f t="shared" si="3"/>
        <v>0</v>
      </c>
      <c r="T79" s="198">
        <f t="shared" si="4"/>
        <v>0</v>
      </c>
      <c r="U79" s="198">
        <f t="shared" si="5"/>
        <v>0</v>
      </c>
      <c r="V79" s="198">
        <f t="shared" si="6"/>
        <v>0</v>
      </c>
      <c r="W79" s="198">
        <f t="shared" si="7"/>
        <v>0</v>
      </c>
      <c r="X79" s="198">
        <f t="shared" si="8"/>
        <v>0</v>
      </c>
      <c r="Y79" s="198">
        <f t="shared" si="9"/>
        <v>0</v>
      </c>
      <c r="Z79" s="198">
        <f t="shared" si="10"/>
        <v>0</v>
      </c>
      <c r="AB79" s="200"/>
    </row>
    <row r="80" spans="1:28" ht="29.25" customHeight="1" thickBot="1">
      <c r="A80" s="218"/>
      <c r="B80" s="219">
        <f t="shared" si="17"/>
        <v>0.41666666666666669</v>
      </c>
      <c r="C80" s="219">
        <f t="shared" si="18"/>
        <v>0.45833333333333337</v>
      </c>
      <c r="D80" s="230"/>
      <c r="E80" s="221"/>
      <c r="F80" s="222"/>
      <c r="G80" s="222"/>
      <c r="H80" s="231"/>
      <c r="I80" s="223"/>
      <c r="J80" s="223"/>
      <c r="K80" s="224">
        <f t="shared" si="13"/>
        <v>0</v>
      </c>
      <c r="L80" s="225"/>
      <c r="M80" s="226"/>
      <c r="N80" s="227"/>
      <c r="O80" s="204" t="str">
        <f t="shared" si="14"/>
        <v/>
      </c>
      <c r="P80" s="228"/>
      <c r="Q80" s="229"/>
      <c r="S80" s="198">
        <f t="shared" si="3"/>
        <v>0</v>
      </c>
      <c r="T80" s="198">
        <f t="shared" si="4"/>
        <v>0</v>
      </c>
      <c r="U80" s="198">
        <f t="shared" si="5"/>
        <v>0</v>
      </c>
      <c r="V80" s="198">
        <f t="shared" si="6"/>
        <v>0</v>
      </c>
      <c r="W80" s="198">
        <f t="shared" si="7"/>
        <v>0</v>
      </c>
      <c r="X80" s="198">
        <f t="shared" si="8"/>
        <v>0</v>
      </c>
      <c r="Y80" s="198">
        <f t="shared" si="9"/>
        <v>0</v>
      </c>
      <c r="Z80" s="198">
        <f t="shared" si="10"/>
        <v>0</v>
      </c>
      <c r="AB80" s="200"/>
    </row>
    <row r="81" spans="1:28" ht="29.25" customHeight="1">
      <c r="A81" s="184">
        <f>A40</f>
        <v>0</v>
      </c>
      <c r="B81" s="185">
        <f>B27</f>
        <v>0</v>
      </c>
      <c r="C81" s="185">
        <f>B81+1/24</f>
        <v>4.1666666666666664E-2</v>
      </c>
      <c r="D81" s="186"/>
      <c r="E81" s="187"/>
      <c r="F81" s="188"/>
      <c r="G81" s="189"/>
      <c r="H81" s="190"/>
      <c r="I81" s="191"/>
      <c r="J81" s="191"/>
      <c r="K81" s="192">
        <f t="shared" si="13"/>
        <v>0</v>
      </c>
      <c r="L81" s="193"/>
      <c r="M81" s="194"/>
      <c r="N81" s="195"/>
      <c r="O81" s="196" t="str">
        <f t="shared" si="14"/>
        <v/>
      </c>
      <c r="P81" s="187"/>
      <c r="Q81" s="197"/>
      <c r="S81" s="198">
        <f t="shared" si="3"/>
        <v>0</v>
      </c>
      <c r="T81" s="198">
        <f t="shared" si="4"/>
        <v>0</v>
      </c>
      <c r="U81" s="198">
        <f t="shared" si="5"/>
        <v>0</v>
      </c>
      <c r="V81" s="198">
        <f t="shared" si="6"/>
        <v>0</v>
      </c>
      <c r="W81" s="198">
        <f t="shared" si="7"/>
        <v>0</v>
      </c>
      <c r="X81" s="198">
        <f t="shared" si="8"/>
        <v>0</v>
      </c>
      <c r="Y81" s="198">
        <f t="shared" si="9"/>
        <v>0</v>
      </c>
      <c r="Z81" s="198">
        <f t="shared" si="10"/>
        <v>0</v>
      </c>
      <c r="AB81" s="200"/>
    </row>
    <row r="82" spans="1:28" ht="29.25" customHeight="1">
      <c r="A82" s="201"/>
      <c r="B82" s="202">
        <f>C81</f>
        <v>4.1666666666666664E-2</v>
      </c>
      <c r="C82" s="202">
        <f>B82+1/24</f>
        <v>8.3333333333333329E-2</v>
      </c>
      <c r="D82" s="203"/>
      <c r="E82" s="204"/>
      <c r="F82" s="205"/>
      <c r="G82" s="206"/>
      <c r="H82" s="214"/>
      <c r="I82" s="207"/>
      <c r="J82" s="207"/>
      <c r="K82" s="208">
        <f t="shared" si="13"/>
        <v>0</v>
      </c>
      <c r="L82" s="209"/>
      <c r="M82" s="210"/>
      <c r="N82" s="211"/>
      <c r="O82" s="212" t="str">
        <f t="shared" si="14"/>
        <v/>
      </c>
      <c r="P82" s="204"/>
      <c r="Q82" s="213"/>
      <c r="S82" s="198">
        <f t="shared" si="3"/>
        <v>0</v>
      </c>
      <c r="T82" s="198">
        <f t="shared" si="4"/>
        <v>0</v>
      </c>
      <c r="U82" s="198">
        <f t="shared" si="5"/>
        <v>0</v>
      </c>
      <c r="V82" s="198">
        <f t="shared" si="6"/>
        <v>0</v>
      </c>
      <c r="W82" s="198">
        <f t="shared" si="7"/>
        <v>0</v>
      </c>
      <c r="X82" s="198">
        <f t="shared" si="8"/>
        <v>0</v>
      </c>
      <c r="Y82" s="198">
        <f t="shared" si="9"/>
        <v>0</v>
      </c>
      <c r="Z82" s="198">
        <f t="shared" si="10"/>
        <v>0</v>
      </c>
      <c r="AB82" s="200"/>
    </row>
    <row r="83" spans="1:28" ht="29.25" customHeight="1">
      <c r="A83" s="201"/>
      <c r="B83" s="202">
        <f t="shared" ref="B83:B91" si="19">C82</f>
        <v>8.3333333333333329E-2</v>
      </c>
      <c r="C83" s="202">
        <f t="shared" ref="C83:C91" si="20">B83+1/24</f>
        <v>0.125</v>
      </c>
      <c r="D83" s="203"/>
      <c r="E83" s="204"/>
      <c r="F83" s="215"/>
      <c r="G83" s="215"/>
      <c r="H83" s="214"/>
      <c r="I83" s="207"/>
      <c r="J83" s="207"/>
      <c r="K83" s="208">
        <f t="shared" si="13"/>
        <v>0</v>
      </c>
      <c r="L83" s="209"/>
      <c r="M83" s="210"/>
      <c r="N83" s="211"/>
      <c r="O83" s="212" t="str">
        <f t="shared" si="14"/>
        <v/>
      </c>
      <c r="P83" s="204"/>
      <c r="Q83" s="213"/>
      <c r="S83" s="198">
        <f t="shared" si="3"/>
        <v>0</v>
      </c>
      <c r="T83" s="198">
        <f t="shared" si="4"/>
        <v>0</v>
      </c>
      <c r="U83" s="198">
        <f t="shared" si="5"/>
        <v>0</v>
      </c>
      <c r="V83" s="198">
        <f t="shared" si="6"/>
        <v>0</v>
      </c>
      <c r="W83" s="198">
        <f t="shared" si="7"/>
        <v>0</v>
      </c>
      <c r="X83" s="198">
        <f t="shared" si="8"/>
        <v>0</v>
      </c>
      <c r="Y83" s="198">
        <f t="shared" si="9"/>
        <v>0</v>
      </c>
      <c r="Z83" s="198">
        <f t="shared" si="10"/>
        <v>0</v>
      </c>
      <c r="AB83" s="200"/>
    </row>
    <row r="84" spans="1:28" ht="29.25" customHeight="1">
      <c r="A84" s="201"/>
      <c r="B84" s="202">
        <f t="shared" si="19"/>
        <v>0.125</v>
      </c>
      <c r="C84" s="202">
        <f t="shared" si="20"/>
        <v>0.16666666666666666</v>
      </c>
      <c r="D84" s="203"/>
      <c r="E84" s="204"/>
      <c r="F84" s="215"/>
      <c r="G84" s="215"/>
      <c r="H84" s="214"/>
      <c r="I84" s="207"/>
      <c r="J84" s="207"/>
      <c r="K84" s="208">
        <f t="shared" si="13"/>
        <v>0</v>
      </c>
      <c r="L84" s="209"/>
      <c r="M84" s="210"/>
      <c r="N84" s="211"/>
      <c r="O84" s="212" t="str">
        <f t="shared" si="14"/>
        <v/>
      </c>
      <c r="P84" s="204"/>
      <c r="Q84" s="213"/>
      <c r="S84" s="198">
        <f t="shared" si="3"/>
        <v>0</v>
      </c>
      <c r="T84" s="198">
        <f t="shared" si="4"/>
        <v>0</v>
      </c>
      <c r="U84" s="198">
        <f t="shared" si="5"/>
        <v>0</v>
      </c>
      <c r="V84" s="198">
        <f t="shared" si="6"/>
        <v>0</v>
      </c>
      <c r="W84" s="198">
        <f t="shared" si="7"/>
        <v>0</v>
      </c>
      <c r="X84" s="198">
        <f t="shared" si="8"/>
        <v>0</v>
      </c>
      <c r="Y84" s="198">
        <f t="shared" si="9"/>
        <v>0</v>
      </c>
      <c r="Z84" s="198">
        <f t="shared" si="10"/>
        <v>0</v>
      </c>
      <c r="AB84" s="200"/>
    </row>
    <row r="85" spans="1:28" ht="29.25" customHeight="1">
      <c r="A85" s="201"/>
      <c r="B85" s="202">
        <f t="shared" si="19"/>
        <v>0.16666666666666666</v>
      </c>
      <c r="C85" s="202">
        <f t="shared" si="20"/>
        <v>0.20833333333333331</v>
      </c>
      <c r="D85" s="203"/>
      <c r="E85" s="204"/>
      <c r="F85" s="215"/>
      <c r="G85" s="215"/>
      <c r="H85" s="214"/>
      <c r="I85" s="207"/>
      <c r="J85" s="207"/>
      <c r="K85" s="208">
        <f t="shared" si="13"/>
        <v>0</v>
      </c>
      <c r="L85" s="209"/>
      <c r="M85" s="210"/>
      <c r="N85" s="211"/>
      <c r="O85" s="212" t="str">
        <f t="shared" si="14"/>
        <v/>
      </c>
      <c r="P85" s="204"/>
      <c r="Q85" s="213"/>
      <c r="S85" s="198">
        <f t="shared" si="3"/>
        <v>0</v>
      </c>
      <c r="T85" s="198">
        <f t="shared" si="4"/>
        <v>0</v>
      </c>
      <c r="U85" s="198">
        <f t="shared" si="5"/>
        <v>0</v>
      </c>
      <c r="V85" s="198">
        <f t="shared" si="6"/>
        <v>0</v>
      </c>
      <c r="W85" s="198">
        <f t="shared" si="7"/>
        <v>0</v>
      </c>
      <c r="X85" s="198">
        <f t="shared" si="8"/>
        <v>0</v>
      </c>
      <c r="Y85" s="198">
        <f t="shared" si="9"/>
        <v>0</v>
      </c>
      <c r="Z85" s="198">
        <f t="shared" si="10"/>
        <v>0</v>
      </c>
      <c r="AB85" s="200"/>
    </row>
    <row r="86" spans="1:28" ht="29.25" customHeight="1">
      <c r="A86" s="201"/>
      <c r="B86" s="202">
        <f t="shared" si="19"/>
        <v>0.20833333333333331</v>
      </c>
      <c r="C86" s="202">
        <f t="shared" si="20"/>
        <v>0.24999999999999997</v>
      </c>
      <c r="D86" s="203"/>
      <c r="E86" s="204"/>
      <c r="F86" s="215"/>
      <c r="G86" s="215"/>
      <c r="H86" s="214"/>
      <c r="I86" s="207"/>
      <c r="J86" s="207"/>
      <c r="K86" s="208">
        <f t="shared" si="13"/>
        <v>0</v>
      </c>
      <c r="L86" s="209"/>
      <c r="M86" s="210"/>
      <c r="N86" s="211"/>
      <c r="O86" s="212" t="str">
        <f t="shared" si="14"/>
        <v/>
      </c>
      <c r="P86" s="204"/>
      <c r="Q86" s="213"/>
      <c r="S86" s="198">
        <f t="shared" si="3"/>
        <v>0</v>
      </c>
      <c r="T86" s="198">
        <f t="shared" si="4"/>
        <v>0</v>
      </c>
      <c r="U86" s="198">
        <f t="shared" si="5"/>
        <v>0</v>
      </c>
      <c r="V86" s="198">
        <f t="shared" si="6"/>
        <v>0</v>
      </c>
      <c r="W86" s="198">
        <f t="shared" si="7"/>
        <v>0</v>
      </c>
      <c r="X86" s="198">
        <f t="shared" si="8"/>
        <v>0</v>
      </c>
      <c r="Y86" s="198">
        <f t="shared" si="9"/>
        <v>0</v>
      </c>
      <c r="Z86" s="198">
        <f t="shared" si="10"/>
        <v>0</v>
      </c>
      <c r="AB86" s="200"/>
    </row>
    <row r="87" spans="1:28" ht="29.25" customHeight="1">
      <c r="A87" s="201"/>
      <c r="B87" s="202">
        <f t="shared" si="19"/>
        <v>0.24999999999999997</v>
      </c>
      <c r="C87" s="202">
        <f t="shared" si="20"/>
        <v>0.29166666666666663</v>
      </c>
      <c r="D87" s="203"/>
      <c r="E87" s="216"/>
      <c r="F87" s="215"/>
      <c r="G87" s="215"/>
      <c r="H87" s="214"/>
      <c r="I87" s="207"/>
      <c r="J87" s="207"/>
      <c r="K87" s="208">
        <f t="shared" si="13"/>
        <v>0</v>
      </c>
      <c r="L87" s="209"/>
      <c r="M87" s="210"/>
      <c r="N87" s="211"/>
      <c r="O87" s="212" t="str">
        <f t="shared" si="14"/>
        <v/>
      </c>
      <c r="P87" s="204"/>
      <c r="Q87" s="213"/>
      <c r="S87" s="198">
        <f t="shared" si="3"/>
        <v>0</v>
      </c>
      <c r="T87" s="198">
        <f t="shared" si="4"/>
        <v>0</v>
      </c>
      <c r="U87" s="198">
        <f t="shared" si="5"/>
        <v>0</v>
      </c>
      <c r="V87" s="198">
        <f t="shared" si="6"/>
        <v>0</v>
      </c>
      <c r="W87" s="198">
        <f t="shared" si="7"/>
        <v>0</v>
      </c>
      <c r="X87" s="198">
        <f t="shared" si="8"/>
        <v>0</v>
      </c>
      <c r="Y87" s="198">
        <f t="shared" si="9"/>
        <v>0</v>
      </c>
      <c r="Z87" s="198">
        <f t="shared" si="10"/>
        <v>0</v>
      </c>
      <c r="AB87" s="200"/>
    </row>
    <row r="88" spans="1:28" ht="29.25" customHeight="1">
      <c r="A88" s="201"/>
      <c r="B88" s="202">
        <f t="shared" si="19"/>
        <v>0.29166666666666663</v>
      </c>
      <c r="C88" s="202">
        <f t="shared" si="20"/>
        <v>0.33333333333333331</v>
      </c>
      <c r="D88" s="203"/>
      <c r="E88" s="216"/>
      <c r="F88" s="205"/>
      <c r="G88" s="206"/>
      <c r="H88" s="214"/>
      <c r="I88" s="207"/>
      <c r="J88" s="207"/>
      <c r="K88" s="208">
        <f t="shared" si="13"/>
        <v>0</v>
      </c>
      <c r="L88" s="209"/>
      <c r="M88" s="210"/>
      <c r="N88" s="211"/>
      <c r="O88" s="212" t="str">
        <f t="shared" si="14"/>
        <v/>
      </c>
      <c r="P88" s="204"/>
      <c r="Q88" s="213"/>
      <c r="S88" s="198">
        <f t="shared" si="3"/>
        <v>0</v>
      </c>
      <c r="T88" s="198">
        <f t="shared" si="4"/>
        <v>0</v>
      </c>
      <c r="U88" s="198">
        <f t="shared" si="5"/>
        <v>0</v>
      </c>
      <c r="V88" s="198">
        <f t="shared" si="6"/>
        <v>0</v>
      </c>
      <c r="W88" s="198">
        <f t="shared" si="7"/>
        <v>0</v>
      </c>
      <c r="X88" s="198">
        <f t="shared" si="8"/>
        <v>0</v>
      </c>
      <c r="Y88" s="198">
        <f t="shared" si="9"/>
        <v>0</v>
      </c>
      <c r="Z88" s="198">
        <f t="shared" si="10"/>
        <v>0</v>
      </c>
      <c r="AB88" s="200"/>
    </row>
    <row r="89" spans="1:28" ht="29.25" customHeight="1">
      <c r="A89" s="201"/>
      <c r="B89" s="202">
        <f t="shared" si="19"/>
        <v>0.33333333333333331</v>
      </c>
      <c r="C89" s="202">
        <f t="shared" si="20"/>
        <v>0.375</v>
      </c>
      <c r="D89" s="203"/>
      <c r="E89" s="216"/>
      <c r="F89" s="205"/>
      <c r="G89" s="206"/>
      <c r="H89" s="214"/>
      <c r="I89" s="207"/>
      <c r="J89" s="207"/>
      <c r="K89" s="208">
        <f t="shared" si="13"/>
        <v>0</v>
      </c>
      <c r="L89" s="209"/>
      <c r="M89" s="210"/>
      <c r="N89" s="211"/>
      <c r="O89" s="212" t="str">
        <f t="shared" si="14"/>
        <v/>
      </c>
      <c r="P89" s="204"/>
      <c r="Q89" s="213"/>
      <c r="S89" s="198">
        <f t="shared" si="3"/>
        <v>0</v>
      </c>
      <c r="T89" s="198">
        <f t="shared" si="4"/>
        <v>0</v>
      </c>
      <c r="U89" s="198">
        <f t="shared" si="5"/>
        <v>0</v>
      </c>
      <c r="V89" s="198">
        <f t="shared" si="6"/>
        <v>0</v>
      </c>
      <c r="W89" s="198">
        <f t="shared" si="7"/>
        <v>0</v>
      </c>
      <c r="X89" s="198">
        <f t="shared" si="8"/>
        <v>0</v>
      </c>
      <c r="Y89" s="198">
        <f t="shared" si="9"/>
        <v>0</v>
      </c>
      <c r="Z89" s="198">
        <f t="shared" si="10"/>
        <v>0</v>
      </c>
      <c r="AB89" s="200"/>
    </row>
    <row r="90" spans="1:28" ht="29.25" customHeight="1">
      <c r="A90" s="201"/>
      <c r="B90" s="202">
        <f t="shared" si="19"/>
        <v>0.375</v>
      </c>
      <c r="C90" s="202">
        <f t="shared" si="20"/>
        <v>0.41666666666666669</v>
      </c>
      <c r="D90" s="203"/>
      <c r="E90" s="216"/>
      <c r="F90" s="215"/>
      <c r="G90" s="215"/>
      <c r="H90" s="214"/>
      <c r="I90" s="207"/>
      <c r="J90" s="207"/>
      <c r="K90" s="208">
        <f t="shared" si="13"/>
        <v>0</v>
      </c>
      <c r="L90" s="209"/>
      <c r="M90" s="210"/>
      <c r="N90" s="211"/>
      <c r="O90" s="212" t="str">
        <f t="shared" si="14"/>
        <v/>
      </c>
      <c r="P90" s="204"/>
      <c r="Q90" s="213"/>
      <c r="S90" s="198">
        <f t="shared" si="3"/>
        <v>0</v>
      </c>
      <c r="T90" s="198">
        <f t="shared" si="4"/>
        <v>0</v>
      </c>
      <c r="U90" s="198">
        <f t="shared" si="5"/>
        <v>0</v>
      </c>
      <c r="V90" s="198">
        <f t="shared" si="6"/>
        <v>0</v>
      </c>
      <c r="W90" s="198">
        <f t="shared" si="7"/>
        <v>0</v>
      </c>
      <c r="X90" s="198">
        <f t="shared" si="8"/>
        <v>0</v>
      </c>
      <c r="Y90" s="198">
        <f t="shared" si="9"/>
        <v>0</v>
      </c>
      <c r="Z90" s="198">
        <f t="shared" si="10"/>
        <v>0</v>
      </c>
      <c r="AB90" s="200"/>
    </row>
    <row r="91" spans="1:28" ht="29.25" customHeight="1" thickBot="1">
      <c r="A91" s="218"/>
      <c r="B91" s="219">
        <f t="shared" si="19"/>
        <v>0.41666666666666669</v>
      </c>
      <c r="C91" s="219">
        <f t="shared" si="20"/>
        <v>0.45833333333333337</v>
      </c>
      <c r="D91" s="230"/>
      <c r="E91" s="221"/>
      <c r="F91" s="222"/>
      <c r="G91" s="222"/>
      <c r="H91" s="231"/>
      <c r="I91" s="223"/>
      <c r="J91" s="223"/>
      <c r="K91" s="224">
        <f t="shared" si="13"/>
        <v>0</v>
      </c>
      <c r="L91" s="225"/>
      <c r="M91" s="226"/>
      <c r="N91" s="227"/>
      <c r="O91" s="204" t="str">
        <f t="shared" si="14"/>
        <v/>
      </c>
      <c r="P91" s="228"/>
      <c r="Q91" s="229"/>
      <c r="S91" s="198">
        <f t="shared" si="3"/>
        <v>0</v>
      </c>
      <c r="T91" s="198">
        <f t="shared" si="4"/>
        <v>0</v>
      </c>
      <c r="U91" s="198">
        <f t="shared" si="5"/>
        <v>0</v>
      </c>
      <c r="V91" s="198">
        <f t="shared" si="6"/>
        <v>0</v>
      </c>
      <c r="W91" s="198">
        <f t="shared" si="7"/>
        <v>0</v>
      </c>
      <c r="X91" s="198">
        <f t="shared" si="8"/>
        <v>0</v>
      </c>
      <c r="Y91" s="198">
        <f t="shared" si="9"/>
        <v>0</v>
      </c>
      <c r="Z91" s="198">
        <f t="shared" si="10"/>
        <v>0</v>
      </c>
      <c r="AB91" s="200"/>
    </row>
    <row r="92" spans="1:28" ht="15" hidden="1" customHeight="1">
      <c r="A92" s="232">
        <f>A41</f>
        <v>0</v>
      </c>
      <c r="B92" s="233"/>
      <c r="C92" s="233"/>
      <c r="D92" s="233"/>
      <c r="E92" s="234"/>
      <c r="F92" s="235"/>
      <c r="G92" s="235"/>
      <c r="H92" s="236"/>
      <c r="I92" s="237"/>
      <c r="J92" s="237"/>
      <c r="K92" s="238">
        <f t="shared" si="13"/>
        <v>0</v>
      </c>
      <c r="L92" s="239"/>
      <c r="M92" s="239"/>
      <c r="N92" s="239"/>
      <c r="O92" s="187" t="str">
        <f t="shared" si="14"/>
        <v/>
      </c>
      <c r="P92" s="240"/>
      <c r="Q92" s="241"/>
      <c r="S92" s="198">
        <f t="shared" si="3"/>
        <v>0</v>
      </c>
      <c r="T92" s="198">
        <f t="shared" si="4"/>
        <v>0</v>
      </c>
      <c r="U92" s="198">
        <f t="shared" si="5"/>
        <v>0</v>
      </c>
      <c r="V92" s="198">
        <f t="shared" si="6"/>
        <v>0</v>
      </c>
      <c r="W92" s="198">
        <f t="shared" si="7"/>
        <v>0</v>
      </c>
      <c r="X92" s="198">
        <f t="shared" si="8"/>
        <v>0</v>
      </c>
      <c r="Y92" s="198">
        <f t="shared" si="9"/>
        <v>0</v>
      </c>
      <c r="Z92" s="198">
        <f t="shared" si="10"/>
        <v>0</v>
      </c>
      <c r="AB92" s="200"/>
    </row>
    <row r="93" spans="1:28" ht="15" hidden="1" customHeight="1">
      <c r="A93" s="232"/>
      <c r="B93" s="242"/>
      <c r="C93" s="242"/>
      <c r="D93" s="242"/>
      <c r="E93" s="243"/>
      <c r="F93" s="244"/>
      <c r="G93" s="244"/>
      <c r="H93" s="214"/>
      <c r="I93" s="207"/>
      <c r="J93" s="207"/>
      <c r="K93" s="245">
        <f t="shared" si="13"/>
        <v>0</v>
      </c>
      <c r="L93" s="246"/>
      <c r="M93" s="246"/>
      <c r="N93" s="246"/>
      <c r="O93" s="187" t="str">
        <f t="shared" si="14"/>
        <v/>
      </c>
      <c r="P93" s="247"/>
      <c r="Q93" s="248"/>
      <c r="S93" s="198">
        <f t="shared" si="3"/>
        <v>0</v>
      </c>
      <c r="T93" s="198">
        <f t="shared" si="4"/>
        <v>0</v>
      </c>
      <c r="U93" s="198">
        <f t="shared" si="5"/>
        <v>0</v>
      </c>
      <c r="V93" s="198">
        <f t="shared" si="6"/>
        <v>0</v>
      </c>
      <c r="W93" s="198">
        <f t="shared" si="7"/>
        <v>0</v>
      </c>
      <c r="X93" s="198">
        <f t="shared" si="8"/>
        <v>0</v>
      </c>
      <c r="Y93" s="198">
        <f t="shared" si="9"/>
        <v>0</v>
      </c>
      <c r="Z93" s="198">
        <f t="shared" si="10"/>
        <v>0</v>
      </c>
      <c r="AB93" s="200"/>
    </row>
    <row r="94" spans="1:28" ht="15" hidden="1" customHeight="1">
      <c r="A94" s="232"/>
      <c r="B94" s="242"/>
      <c r="C94" s="242"/>
      <c r="D94" s="242"/>
      <c r="E94" s="243"/>
      <c r="F94" s="244"/>
      <c r="G94" s="244"/>
      <c r="H94" s="214"/>
      <c r="I94" s="207"/>
      <c r="J94" s="207"/>
      <c r="K94" s="245">
        <f t="shared" si="13"/>
        <v>0</v>
      </c>
      <c r="L94" s="246"/>
      <c r="M94" s="246"/>
      <c r="N94" s="246"/>
      <c r="O94" s="187" t="str">
        <f t="shared" si="14"/>
        <v/>
      </c>
      <c r="P94" s="247"/>
      <c r="Q94" s="248"/>
      <c r="S94" s="198">
        <f t="shared" si="3"/>
        <v>0</v>
      </c>
      <c r="T94" s="198">
        <f t="shared" si="4"/>
        <v>0</v>
      </c>
      <c r="U94" s="198">
        <f t="shared" si="5"/>
        <v>0</v>
      </c>
      <c r="V94" s="198">
        <f t="shared" si="6"/>
        <v>0</v>
      </c>
      <c r="W94" s="198">
        <f t="shared" si="7"/>
        <v>0</v>
      </c>
      <c r="X94" s="198">
        <f t="shared" si="8"/>
        <v>0</v>
      </c>
      <c r="Y94" s="198">
        <f t="shared" si="9"/>
        <v>0</v>
      </c>
      <c r="Z94" s="198">
        <f t="shared" si="10"/>
        <v>0</v>
      </c>
      <c r="AB94" s="200"/>
    </row>
    <row r="95" spans="1:28" ht="15" hidden="1" customHeight="1">
      <c r="A95" s="232"/>
      <c r="B95" s="242"/>
      <c r="C95" s="242"/>
      <c r="D95" s="242"/>
      <c r="E95" s="243"/>
      <c r="F95" s="244"/>
      <c r="G95" s="244"/>
      <c r="H95" s="214"/>
      <c r="I95" s="207"/>
      <c r="J95" s="207"/>
      <c r="K95" s="245">
        <f t="shared" si="13"/>
        <v>0</v>
      </c>
      <c r="L95" s="246"/>
      <c r="M95" s="246"/>
      <c r="N95" s="246"/>
      <c r="O95" s="187" t="str">
        <f t="shared" si="14"/>
        <v/>
      </c>
      <c r="P95" s="247"/>
      <c r="Q95" s="248"/>
      <c r="S95" s="198">
        <f t="shared" si="3"/>
        <v>0</v>
      </c>
      <c r="T95" s="198">
        <f t="shared" si="4"/>
        <v>0</v>
      </c>
      <c r="U95" s="198">
        <f t="shared" si="5"/>
        <v>0</v>
      </c>
      <c r="V95" s="198">
        <f t="shared" si="6"/>
        <v>0</v>
      </c>
      <c r="W95" s="198">
        <f t="shared" si="7"/>
        <v>0</v>
      </c>
      <c r="X95" s="198">
        <f t="shared" si="8"/>
        <v>0</v>
      </c>
      <c r="Y95" s="198">
        <f t="shared" si="9"/>
        <v>0</v>
      </c>
      <c r="Z95" s="198">
        <f t="shared" si="10"/>
        <v>0</v>
      </c>
      <c r="AB95" s="200"/>
    </row>
    <row r="96" spans="1:28" ht="15" hidden="1" customHeight="1" thickBot="1">
      <c r="A96" s="232"/>
      <c r="B96" s="242"/>
      <c r="C96" s="242"/>
      <c r="D96" s="242"/>
      <c r="E96" s="243"/>
      <c r="F96" s="244"/>
      <c r="G96" s="244"/>
      <c r="H96" s="214"/>
      <c r="I96" s="207"/>
      <c r="J96" s="207"/>
      <c r="K96" s="245">
        <f t="shared" si="13"/>
        <v>0</v>
      </c>
      <c r="L96" s="246"/>
      <c r="M96" s="246"/>
      <c r="N96" s="246"/>
      <c r="O96" s="187" t="str">
        <f t="shared" si="14"/>
        <v/>
      </c>
      <c r="P96" s="247"/>
      <c r="Q96" s="248"/>
      <c r="S96" s="198">
        <f t="shared" si="3"/>
        <v>0</v>
      </c>
      <c r="T96" s="198">
        <f t="shared" si="4"/>
        <v>0</v>
      </c>
      <c r="U96" s="198">
        <f t="shared" si="5"/>
        <v>0</v>
      </c>
      <c r="V96" s="198">
        <f t="shared" si="6"/>
        <v>0</v>
      </c>
      <c r="W96" s="198">
        <f t="shared" si="7"/>
        <v>0</v>
      </c>
      <c r="X96" s="198">
        <f t="shared" si="8"/>
        <v>0</v>
      </c>
      <c r="Y96" s="198">
        <f t="shared" si="9"/>
        <v>0</v>
      </c>
      <c r="Z96" s="198">
        <f t="shared" si="10"/>
        <v>0</v>
      </c>
      <c r="AB96" s="200"/>
    </row>
    <row r="97" spans="1:28" ht="15" hidden="1" customHeight="1" thickBot="1">
      <c r="A97" s="232"/>
      <c r="B97" s="242"/>
      <c r="C97" s="242"/>
      <c r="D97" s="242"/>
      <c r="E97" s="243"/>
      <c r="F97" s="244"/>
      <c r="G97" s="244"/>
      <c r="H97" s="214"/>
      <c r="I97" s="207"/>
      <c r="J97" s="207"/>
      <c r="K97" s="245">
        <f t="shared" si="13"/>
        <v>0</v>
      </c>
      <c r="L97" s="246"/>
      <c r="M97" s="246"/>
      <c r="N97" s="246"/>
      <c r="O97" s="187" t="str">
        <f t="shared" si="14"/>
        <v/>
      </c>
      <c r="P97" s="247"/>
      <c r="Q97" s="248"/>
      <c r="S97" s="198">
        <f t="shared" si="3"/>
        <v>0</v>
      </c>
      <c r="T97" s="198">
        <f t="shared" si="4"/>
        <v>0</v>
      </c>
      <c r="U97" s="198">
        <f t="shared" si="5"/>
        <v>0</v>
      </c>
      <c r="V97" s="198">
        <f t="shared" si="6"/>
        <v>0</v>
      </c>
      <c r="W97" s="198">
        <f t="shared" si="7"/>
        <v>0</v>
      </c>
      <c r="X97" s="198">
        <f t="shared" si="8"/>
        <v>0</v>
      </c>
      <c r="Y97" s="198">
        <f t="shared" si="9"/>
        <v>0</v>
      </c>
      <c r="Z97" s="198">
        <f t="shared" si="10"/>
        <v>0</v>
      </c>
      <c r="AB97" s="200"/>
    </row>
    <row r="98" spans="1:28" ht="15" hidden="1" customHeight="1" thickBot="1">
      <c r="A98" s="232"/>
      <c r="B98" s="242"/>
      <c r="C98" s="242"/>
      <c r="D98" s="242"/>
      <c r="E98" s="243"/>
      <c r="F98" s="244"/>
      <c r="G98" s="244"/>
      <c r="H98" s="214"/>
      <c r="I98" s="207"/>
      <c r="J98" s="207"/>
      <c r="K98" s="245">
        <f t="shared" si="13"/>
        <v>0</v>
      </c>
      <c r="L98" s="246"/>
      <c r="M98" s="246"/>
      <c r="N98" s="246"/>
      <c r="O98" s="187" t="str">
        <f t="shared" si="14"/>
        <v/>
      </c>
      <c r="P98" s="247"/>
      <c r="Q98" s="248"/>
      <c r="S98" s="198">
        <f t="shared" si="3"/>
        <v>0</v>
      </c>
      <c r="T98" s="198">
        <f t="shared" si="4"/>
        <v>0</v>
      </c>
      <c r="U98" s="198">
        <f t="shared" si="5"/>
        <v>0</v>
      </c>
      <c r="V98" s="198">
        <f t="shared" si="6"/>
        <v>0</v>
      </c>
      <c r="W98" s="198">
        <f t="shared" si="7"/>
        <v>0</v>
      </c>
      <c r="X98" s="198">
        <f t="shared" si="8"/>
        <v>0</v>
      </c>
      <c r="Y98" s="198">
        <f t="shared" si="9"/>
        <v>0</v>
      </c>
      <c r="Z98" s="198">
        <f t="shared" si="10"/>
        <v>0</v>
      </c>
      <c r="AB98" s="200"/>
    </row>
    <row r="99" spans="1:28" ht="15" hidden="1" customHeight="1" thickBot="1">
      <c r="A99" s="232"/>
      <c r="B99" s="242"/>
      <c r="C99" s="242"/>
      <c r="D99" s="242"/>
      <c r="E99" s="243"/>
      <c r="F99" s="244"/>
      <c r="G99" s="244"/>
      <c r="H99" s="214"/>
      <c r="I99" s="207"/>
      <c r="J99" s="207"/>
      <c r="K99" s="245">
        <f t="shared" si="13"/>
        <v>0</v>
      </c>
      <c r="L99" s="246"/>
      <c r="M99" s="246"/>
      <c r="N99" s="246"/>
      <c r="O99" s="187" t="str">
        <f t="shared" si="14"/>
        <v/>
      </c>
      <c r="P99" s="247"/>
      <c r="Q99" s="248"/>
      <c r="S99" s="198">
        <f t="shared" si="3"/>
        <v>0</v>
      </c>
      <c r="T99" s="198">
        <f t="shared" si="4"/>
        <v>0</v>
      </c>
      <c r="U99" s="198">
        <f t="shared" si="5"/>
        <v>0</v>
      </c>
      <c r="V99" s="198">
        <f t="shared" si="6"/>
        <v>0</v>
      </c>
      <c r="W99" s="198">
        <f t="shared" si="7"/>
        <v>0</v>
      </c>
      <c r="X99" s="198">
        <f t="shared" si="8"/>
        <v>0</v>
      </c>
      <c r="Y99" s="198">
        <f t="shared" si="9"/>
        <v>0</v>
      </c>
      <c r="Z99" s="198">
        <f t="shared" si="10"/>
        <v>0</v>
      </c>
      <c r="AB99" s="200"/>
    </row>
    <row r="100" spans="1:28" ht="15" hidden="1" customHeight="1" thickBot="1">
      <c r="A100" s="232"/>
      <c r="B100" s="242"/>
      <c r="C100" s="242"/>
      <c r="D100" s="242"/>
      <c r="E100" s="243"/>
      <c r="F100" s="244"/>
      <c r="G100" s="244"/>
      <c r="H100" s="214"/>
      <c r="I100" s="207"/>
      <c r="J100" s="207"/>
      <c r="K100" s="245">
        <f t="shared" si="13"/>
        <v>0</v>
      </c>
      <c r="L100" s="246"/>
      <c r="M100" s="246"/>
      <c r="N100" s="246"/>
      <c r="O100" s="187" t="str">
        <f t="shared" si="14"/>
        <v/>
      </c>
      <c r="P100" s="247"/>
      <c r="Q100" s="248"/>
      <c r="S100" s="198">
        <f t="shared" si="3"/>
        <v>0</v>
      </c>
      <c r="T100" s="198">
        <f t="shared" si="4"/>
        <v>0</v>
      </c>
      <c r="U100" s="198">
        <f t="shared" si="5"/>
        <v>0</v>
      </c>
      <c r="V100" s="198">
        <f t="shared" si="6"/>
        <v>0</v>
      </c>
      <c r="W100" s="198">
        <f t="shared" si="7"/>
        <v>0</v>
      </c>
      <c r="X100" s="198">
        <f t="shared" si="8"/>
        <v>0</v>
      </c>
      <c r="Y100" s="198">
        <f t="shared" si="9"/>
        <v>0</v>
      </c>
      <c r="Z100" s="198">
        <f t="shared" si="10"/>
        <v>0</v>
      </c>
      <c r="AB100" s="200"/>
    </row>
    <row r="101" spans="1:28" ht="15" hidden="1" customHeight="1" thickBot="1">
      <c r="A101" s="232"/>
      <c r="B101" s="242"/>
      <c r="C101" s="242"/>
      <c r="D101" s="242"/>
      <c r="E101" s="243"/>
      <c r="F101" s="244"/>
      <c r="G101" s="244"/>
      <c r="H101" s="249"/>
      <c r="I101" s="207"/>
      <c r="J101" s="207"/>
      <c r="K101" s="245">
        <f t="shared" si="13"/>
        <v>0</v>
      </c>
      <c r="L101" s="246"/>
      <c r="M101" s="246"/>
      <c r="N101" s="246"/>
      <c r="O101" s="187" t="str">
        <f t="shared" si="14"/>
        <v/>
      </c>
      <c r="P101" s="247"/>
      <c r="Q101" s="248"/>
      <c r="S101" s="198">
        <f t="shared" si="3"/>
        <v>0</v>
      </c>
      <c r="T101" s="198">
        <f t="shared" si="4"/>
        <v>0</v>
      </c>
      <c r="U101" s="198">
        <f t="shared" si="5"/>
        <v>0</v>
      </c>
      <c r="V101" s="198">
        <f t="shared" si="6"/>
        <v>0</v>
      </c>
      <c r="W101" s="198">
        <f t="shared" si="7"/>
        <v>0</v>
      </c>
      <c r="X101" s="198">
        <f t="shared" si="8"/>
        <v>0</v>
      </c>
      <c r="Y101" s="198">
        <f t="shared" si="9"/>
        <v>0</v>
      </c>
      <c r="Z101" s="198">
        <f t="shared" si="10"/>
        <v>0</v>
      </c>
      <c r="AB101" s="200"/>
    </row>
    <row r="102" spans="1:28" ht="15" hidden="1" customHeight="1" thickBot="1">
      <c r="A102" s="250"/>
      <c r="B102" s="242"/>
      <c r="C102" s="242"/>
      <c r="D102" s="242"/>
      <c r="E102" s="243"/>
      <c r="F102" s="244"/>
      <c r="G102" s="244"/>
      <c r="H102" s="249"/>
      <c r="I102" s="207"/>
      <c r="J102" s="207"/>
      <c r="K102" s="245">
        <f t="shared" si="13"/>
        <v>0</v>
      </c>
      <c r="L102" s="246"/>
      <c r="M102" s="246"/>
      <c r="N102" s="246"/>
      <c r="O102" s="187" t="str">
        <f t="shared" si="14"/>
        <v/>
      </c>
      <c r="P102" s="247"/>
      <c r="Q102" s="248"/>
      <c r="S102" s="198">
        <f t="shared" si="3"/>
        <v>0</v>
      </c>
      <c r="T102" s="198">
        <f t="shared" si="4"/>
        <v>0</v>
      </c>
      <c r="U102" s="198">
        <f t="shared" si="5"/>
        <v>0</v>
      </c>
      <c r="V102" s="198">
        <f t="shared" si="6"/>
        <v>0</v>
      </c>
      <c r="W102" s="198">
        <f t="shared" si="7"/>
        <v>0</v>
      </c>
      <c r="X102" s="198">
        <f t="shared" si="8"/>
        <v>0</v>
      </c>
      <c r="Y102" s="198">
        <f t="shared" si="9"/>
        <v>0</v>
      </c>
      <c r="Z102" s="198">
        <f t="shared" si="10"/>
        <v>0</v>
      </c>
      <c r="AB102" s="200"/>
    </row>
    <row r="103" spans="1:28" ht="15" hidden="1" customHeight="1" thickBot="1">
      <c r="A103" s="251">
        <f>A42</f>
        <v>0</v>
      </c>
      <c r="B103" s="242"/>
      <c r="C103" s="242"/>
      <c r="D103" s="242"/>
      <c r="E103" s="252"/>
      <c r="F103" s="253"/>
      <c r="G103" s="253"/>
      <c r="H103" s="254"/>
      <c r="I103" s="255"/>
      <c r="J103" s="255"/>
      <c r="K103" s="256">
        <f t="shared" si="13"/>
        <v>0</v>
      </c>
      <c r="L103" s="257"/>
      <c r="M103" s="257"/>
      <c r="N103" s="257"/>
      <c r="O103" s="187" t="str">
        <f t="shared" si="14"/>
        <v/>
      </c>
      <c r="P103" s="258"/>
      <c r="Q103" s="259"/>
      <c r="S103" s="198">
        <f t="shared" si="3"/>
        <v>0</v>
      </c>
      <c r="T103" s="198">
        <f t="shared" si="4"/>
        <v>0</v>
      </c>
      <c r="U103" s="198">
        <f t="shared" si="5"/>
        <v>0</v>
      </c>
      <c r="V103" s="198">
        <f t="shared" si="6"/>
        <v>0</v>
      </c>
      <c r="W103" s="198">
        <f t="shared" si="7"/>
        <v>0</v>
      </c>
      <c r="X103" s="198">
        <f t="shared" si="8"/>
        <v>0</v>
      </c>
      <c r="Y103" s="198">
        <f t="shared" si="9"/>
        <v>0</v>
      </c>
      <c r="Z103" s="198">
        <f t="shared" si="10"/>
        <v>0</v>
      </c>
      <c r="AB103" s="200"/>
    </row>
    <row r="104" spans="1:28" ht="15" hidden="1" customHeight="1" thickBot="1">
      <c r="A104" s="232"/>
      <c r="B104" s="242"/>
      <c r="C104" s="242"/>
      <c r="D104" s="242"/>
      <c r="E104" s="260"/>
      <c r="F104" s="261"/>
      <c r="G104" s="261"/>
      <c r="H104" s="262"/>
      <c r="I104" s="263"/>
      <c r="J104" s="263"/>
      <c r="K104" s="245">
        <f t="shared" si="13"/>
        <v>0</v>
      </c>
      <c r="L104" s="264"/>
      <c r="M104" s="264"/>
      <c r="N104" s="264"/>
      <c r="O104" s="187" t="str">
        <f t="shared" si="14"/>
        <v/>
      </c>
      <c r="P104" s="265"/>
      <c r="Q104" s="266"/>
      <c r="S104" s="198">
        <f t="shared" si="3"/>
        <v>0</v>
      </c>
      <c r="T104" s="198">
        <f t="shared" si="4"/>
        <v>0</v>
      </c>
      <c r="U104" s="198">
        <f t="shared" si="5"/>
        <v>0</v>
      </c>
      <c r="V104" s="198">
        <f t="shared" si="6"/>
        <v>0</v>
      </c>
      <c r="W104" s="198">
        <f t="shared" si="7"/>
        <v>0</v>
      </c>
      <c r="X104" s="198">
        <f t="shared" si="8"/>
        <v>0</v>
      </c>
      <c r="Y104" s="198">
        <f t="shared" si="9"/>
        <v>0</v>
      </c>
      <c r="Z104" s="198">
        <f t="shared" si="10"/>
        <v>0</v>
      </c>
      <c r="AB104" s="200"/>
    </row>
    <row r="105" spans="1:28" ht="15" hidden="1" customHeight="1" thickBot="1">
      <c r="A105" s="232"/>
      <c r="B105" s="242"/>
      <c r="C105" s="242"/>
      <c r="D105" s="242"/>
      <c r="E105" s="260"/>
      <c r="F105" s="261"/>
      <c r="G105" s="261"/>
      <c r="H105" s="262"/>
      <c r="I105" s="263"/>
      <c r="J105" s="263"/>
      <c r="K105" s="245">
        <f t="shared" si="13"/>
        <v>0</v>
      </c>
      <c r="L105" s="264"/>
      <c r="M105" s="264"/>
      <c r="N105" s="264"/>
      <c r="O105" s="187" t="str">
        <f t="shared" si="14"/>
        <v/>
      </c>
      <c r="P105" s="265"/>
      <c r="Q105" s="266"/>
      <c r="S105" s="198">
        <f t="shared" si="3"/>
        <v>0</v>
      </c>
      <c r="T105" s="198">
        <f t="shared" si="4"/>
        <v>0</v>
      </c>
      <c r="U105" s="198">
        <f t="shared" si="5"/>
        <v>0</v>
      </c>
      <c r="V105" s="198">
        <f t="shared" si="6"/>
        <v>0</v>
      </c>
      <c r="W105" s="198">
        <f t="shared" si="7"/>
        <v>0</v>
      </c>
      <c r="X105" s="198">
        <f t="shared" si="8"/>
        <v>0</v>
      </c>
      <c r="Y105" s="198">
        <f t="shared" si="9"/>
        <v>0</v>
      </c>
      <c r="Z105" s="198">
        <f t="shared" si="10"/>
        <v>0</v>
      </c>
      <c r="AB105" s="200"/>
    </row>
    <row r="106" spans="1:28" ht="15" hidden="1" customHeight="1" thickBot="1">
      <c r="A106" s="232"/>
      <c r="B106" s="242"/>
      <c r="C106" s="242"/>
      <c r="D106" s="242"/>
      <c r="E106" s="260"/>
      <c r="F106" s="261"/>
      <c r="G106" s="261"/>
      <c r="H106" s="262"/>
      <c r="I106" s="263"/>
      <c r="J106" s="263"/>
      <c r="K106" s="245">
        <f t="shared" si="13"/>
        <v>0</v>
      </c>
      <c r="L106" s="264"/>
      <c r="M106" s="264"/>
      <c r="N106" s="264"/>
      <c r="O106" s="187" t="str">
        <f t="shared" si="14"/>
        <v/>
      </c>
      <c r="P106" s="265"/>
      <c r="Q106" s="266"/>
      <c r="S106" s="198">
        <f t="shared" si="3"/>
        <v>0</v>
      </c>
      <c r="T106" s="198">
        <f t="shared" si="4"/>
        <v>0</v>
      </c>
      <c r="U106" s="198">
        <f t="shared" si="5"/>
        <v>0</v>
      </c>
      <c r="V106" s="198">
        <f t="shared" si="6"/>
        <v>0</v>
      </c>
      <c r="W106" s="198">
        <f t="shared" si="7"/>
        <v>0</v>
      </c>
      <c r="X106" s="198">
        <f t="shared" si="8"/>
        <v>0</v>
      </c>
      <c r="Y106" s="198">
        <f t="shared" si="9"/>
        <v>0</v>
      </c>
      <c r="Z106" s="198">
        <f t="shared" si="10"/>
        <v>0</v>
      </c>
      <c r="AB106" s="200"/>
    </row>
    <row r="107" spans="1:28" ht="15" hidden="1" customHeight="1" thickBot="1">
      <c r="A107" s="232"/>
      <c r="B107" s="242"/>
      <c r="C107" s="242"/>
      <c r="D107" s="242"/>
      <c r="E107" s="260"/>
      <c r="F107" s="261"/>
      <c r="G107" s="261"/>
      <c r="H107" s="262"/>
      <c r="I107" s="263"/>
      <c r="J107" s="263"/>
      <c r="K107" s="245">
        <f t="shared" si="13"/>
        <v>0</v>
      </c>
      <c r="L107" s="264"/>
      <c r="M107" s="264"/>
      <c r="N107" s="264"/>
      <c r="O107" s="187" t="str">
        <f t="shared" si="14"/>
        <v/>
      </c>
      <c r="P107" s="265"/>
      <c r="Q107" s="266"/>
      <c r="S107" s="198">
        <f t="shared" si="3"/>
        <v>0</v>
      </c>
      <c r="T107" s="198">
        <f t="shared" si="4"/>
        <v>0</v>
      </c>
      <c r="U107" s="198">
        <f t="shared" si="5"/>
        <v>0</v>
      </c>
      <c r="V107" s="198">
        <f t="shared" si="6"/>
        <v>0</v>
      </c>
      <c r="W107" s="198">
        <f t="shared" si="7"/>
        <v>0</v>
      </c>
      <c r="X107" s="198">
        <f t="shared" si="8"/>
        <v>0</v>
      </c>
      <c r="Y107" s="198">
        <f t="shared" si="9"/>
        <v>0</v>
      </c>
      <c r="Z107" s="198">
        <f t="shared" si="10"/>
        <v>0</v>
      </c>
      <c r="AB107" s="200"/>
    </row>
    <row r="108" spans="1:28" ht="15" hidden="1" customHeight="1" thickBot="1">
      <c r="A108" s="232"/>
      <c r="B108" s="242"/>
      <c r="C108" s="242"/>
      <c r="D108" s="242"/>
      <c r="E108" s="260"/>
      <c r="F108" s="261"/>
      <c r="G108" s="261"/>
      <c r="H108" s="262"/>
      <c r="I108" s="263"/>
      <c r="J108" s="263"/>
      <c r="K108" s="245">
        <f t="shared" si="13"/>
        <v>0</v>
      </c>
      <c r="L108" s="264"/>
      <c r="M108" s="264"/>
      <c r="N108" s="264"/>
      <c r="O108" s="187" t="str">
        <f t="shared" si="14"/>
        <v/>
      </c>
      <c r="P108" s="265"/>
      <c r="Q108" s="266"/>
      <c r="S108" s="198">
        <f t="shared" si="3"/>
        <v>0</v>
      </c>
      <c r="T108" s="198">
        <f t="shared" si="4"/>
        <v>0</v>
      </c>
      <c r="U108" s="198">
        <f t="shared" si="5"/>
        <v>0</v>
      </c>
      <c r="V108" s="198">
        <f t="shared" si="6"/>
        <v>0</v>
      </c>
      <c r="W108" s="198">
        <f t="shared" si="7"/>
        <v>0</v>
      </c>
      <c r="X108" s="198">
        <f t="shared" si="8"/>
        <v>0</v>
      </c>
      <c r="Y108" s="198">
        <f t="shared" si="9"/>
        <v>0</v>
      </c>
      <c r="Z108" s="198">
        <f t="shared" si="10"/>
        <v>0</v>
      </c>
      <c r="AB108" s="200"/>
    </row>
    <row r="109" spans="1:28" ht="15" hidden="1" customHeight="1" thickBot="1">
      <c r="A109" s="232"/>
      <c r="B109" s="242"/>
      <c r="C109" s="242"/>
      <c r="D109" s="242"/>
      <c r="E109" s="260"/>
      <c r="F109" s="261"/>
      <c r="G109" s="261"/>
      <c r="H109" s="262"/>
      <c r="I109" s="263"/>
      <c r="J109" s="263"/>
      <c r="K109" s="245">
        <f t="shared" si="13"/>
        <v>0</v>
      </c>
      <c r="L109" s="264"/>
      <c r="M109" s="264"/>
      <c r="N109" s="264"/>
      <c r="O109" s="187" t="str">
        <f t="shared" si="14"/>
        <v/>
      </c>
      <c r="P109" s="265"/>
      <c r="Q109" s="266"/>
      <c r="S109" s="198">
        <f t="shared" si="3"/>
        <v>0</v>
      </c>
      <c r="T109" s="198">
        <f t="shared" si="4"/>
        <v>0</v>
      </c>
      <c r="U109" s="198">
        <f t="shared" si="5"/>
        <v>0</v>
      </c>
      <c r="V109" s="198">
        <f t="shared" si="6"/>
        <v>0</v>
      </c>
      <c r="W109" s="198">
        <f t="shared" si="7"/>
        <v>0</v>
      </c>
      <c r="X109" s="198">
        <f t="shared" si="8"/>
        <v>0</v>
      </c>
      <c r="Y109" s="198">
        <f t="shared" si="9"/>
        <v>0</v>
      </c>
      <c r="Z109" s="198">
        <f t="shared" si="10"/>
        <v>0</v>
      </c>
      <c r="AB109" s="200"/>
    </row>
    <row r="110" spans="1:28" ht="15" hidden="1" customHeight="1" thickBot="1">
      <c r="A110" s="232"/>
      <c r="B110" s="242"/>
      <c r="C110" s="242"/>
      <c r="D110" s="242"/>
      <c r="E110" s="260"/>
      <c r="F110" s="261"/>
      <c r="G110" s="261"/>
      <c r="H110" s="262"/>
      <c r="I110" s="263"/>
      <c r="J110" s="263"/>
      <c r="K110" s="245">
        <f t="shared" si="13"/>
        <v>0</v>
      </c>
      <c r="L110" s="264"/>
      <c r="M110" s="264"/>
      <c r="N110" s="264"/>
      <c r="O110" s="187" t="str">
        <f t="shared" si="14"/>
        <v/>
      </c>
      <c r="P110" s="265"/>
      <c r="Q110" s="266"/>
      <c r="S110" s="198">
        <f t="shared" si="3"/>
        <v>0</v>
      </c>
      <c r="T110" s="198">
        <f t="shared" si="4"/>
        <v>0</v>
      </c>
      <c r="U110" s="198">
        <f t="shared" si="5"/>
        <v>0</v>
      </c>
      <c r="V110" s="198">
        <f t="shared" si="6"/>
        <v>0</v>
      </c>
      <c r="W110" s="198">
        <f t="shared" si="7"/>
        <v>0</v>
      </c>
      <c r="X110" s="198">
        <f t="shared" si="8"/>
        <v>0</v>
      </c>
      <c r="Y110" s="198">
        <f t="shared" si="9"/>
        <v>0</v>
      </c>
      <c r="Z110" s="198">
        <f t="shared" si="10"/>
        <v>0</v>
      </c>
      <c r="AB110" s="200"/>
    </row>
    <row r="111" spans="1:28" ht="15" hidden="1" customHeight="1" thickBot="1">
      <c r="A111" s="232"/>
      <c r="B111" s="242"/>
      <c r="C111" s="242"/>
      <c r="D111" s="242"/>
      <c r="E111" s="260"/>
      <c r="F111" s="261"/>
      <c r="G111" s="261"/>
      <c r="H111" s="262"/>
      <c r="I111" s="263"/>
      <c r="J111" s="263"/>
      <c r="K111" s="245">
        <f t="shared" si="13"/>
        <v>0</v>
      </c>
      <c r="L111" s="264"/>
      <c r="M111" s="264"/>
      <c r="N111" s="264"/>
      <c r="O111" s="187" t="str">
        <f t="shared" si="14"/>
        <v/>
      </c>
      <c r="P111" s="265"/>
      <c r="Q111" s="266"/>
      <c r="S111" s="198">
        <f t="shared" si="3"/>
        <v>0</v>
      </c>
      <c r="T111" s="198">
        <f t="shared" si="4"/>
        <v>0</v>
      </c>
      <c r="U111" s="198">
        <f t="shared" si="5"/>
        <v>0</v>
      </c>
      <c r="V111" s="198">
        <f t="shared" si="6"/>
        <v>0</v>
      </c>
      <c r="W111" s="198">
        <f t="shared" si="7"/>
        <v>0</v>
      </c>
      <c r="X111" s="198">
        <f t="shared" si="8"/>
        <v>0</v>
      </c>
      <c r="Y111" s="198">
        <f t="shared" si="9"/>
        <v>0</v>
      </c>
      <c r="Z111" s="198">
        <f t="shared" si="10"/>
        <v>0</v>
      </c>
      <c r="AB111" s="200"/>
    </row>
    <row r="112" spans="1:28" ht="15" hidden="1" customHeight="1" thickBot="1">
      <c r="A112" s="232"/>
      <c r="B112" s="242"/>
      <c r="C112" s="242"/>
      <c r="D112" s="242"/>
      <c r="E112" s="260"/>
      <c r="F112" s="261"/>
      <c r="G112" s="261"/>
      <c r="H112" s="267"/>
      <c r="I112" s="263"/>
      <c r="J112" s="263"/>
      <c r="K112" s="245">
        <f>(J112-I112+(J112&lt;I112))*24*60</f>
        <v>0</v>
      </c>
      <c r="L112" s="264"/>
      <c r="M112" s="264"/>
      <c r="N112" s="264"/>
      <c r="O112" s="187" t="str">
        <f t="shared" si="14"/>
        <v/>
      </c>
      <c r="P112" s="265"/>
      <c r="Q112" s="266"/>
      <c r="S112" s="198">
        <f>IF($H112="ПЛАНОВЫЕ",$K112,0)</f>
        <v>0</v>
      </c>
      <c r="T112" s="198">
        <f>IF($H112="ПРОИЗВОДСТВЕННЫЕ",$K112,0)</f>
        <v>0</v>
      </c>
      <c r="U112" s="198">
        <f>IF($H112="ТЕХНИЧЕСКИЕ",$K112,0)</f>
        <v>0</v>
      </c>
      <c r="V112" s="198">
        <f>IF($H112="ТЕХНОЛОГИЧЕСКИЕ",$K112,0)</f>
        <v>0</v>
      </c>
      <c r="W112" s="198">
        <f>IF($H112="ЛАБОРАТОРНЫЕ",$K112,0)</f>
        <v>0</v>
      </c>
      <c r="X112" s="198">
        <f>IF($H112="СЫРЬЕВЫЕ",$K112,0)</f>
        <v>0</v>
      </c>
      <c r="Y112" s="198">
        <f>IF($H112="ЛОГИСТИЧЕСКИЕ",$K112,0)</f>
        <v>0</v>
      </c>
      <c r="Z112" s="198">
        <f>IF($H112="ОБЩЕЗАВОДСКИЕ",$K112,0)</f>
        <v>0</v>
      </c>
      <c r="AB112" s="200"/>
    </row>
    <row r="113" spans="1:28" ht="15" hidden="1" customHeight="1" thickBot="1">
      <c r="A113" s="232"/>
      <c r="B113" s="242"/>
      <c r="C113" s="242"/>
      <c r="D113" s="242"/>
      <c r="E113" s="260"/>
      <c r="F113" s="261"/>
      <c r="G113" s="261"/>
      <c r="H113" s="267"/>
      <c r="I113" s="263"/>
      <c r="J113" s="263"/>
      <c r="K113" s="245">
        <f>(J113-I113+(J113&lt;I113))*24*60</f>
        <v>0</v>
      </c>
      <c r="L113" s="264"/>
      <c r="M113" s="264"/>
      <c r="N113" s="264"/>
      <c r="O113" s="187" t="str">
        <f t="shared" si="14"/>
        <v/>
      </c>
      <c r="P113" s="265"/>
      <c r="Q113" s="266"/>
      <c r="S113" s="198">
        <f>IF($H113="ПЛАНОВЫЕ",$K113,0)</f>
        <v>0</v>
      </c>
      <c r="T113" s="198">
        <f>IF($H113="ПРОИЗВОДСТВЕННЫЕ",$K113,0)</f>
        <v>0</v>
      </c>
      <c r="U113" s="198">
        <f>IF($H113="ТЕХНИЧЕСКИЕ",$K113,0)</f>
        <v>0</v>
      </c>
      <c r="V113" s="198">
        <f>IF($H113="ТЕХНОЛОГИЧЕСКИЕ",$K113,0)</f>
        <v>0</v>
      </c>
      <c r="W113" s="198">
        <f>IF($H113="ЛАБОРАТОРНЫЕ",$K113,0)</f>
        <v>0</v>
      </c>
      <c r="X113" s="198">
        <f>IF($H113="СЫРЬЕВЫЕ",$K113,0)</f>
        <v>0</v>
      </c>
      <c r="Y113" s="198">
        <f>IF($H113="ЛОГИСТИЧЕСКИЕ",$K113,0)</f>
        <v>0</v>
      </c>
      <c r="Z113" s="198">
        <f>IF($H113="ОБЩЕЗАВОДСКИЕ",$K113,0)</f>
        <v>0</v>
      </c>
      <c r="AB113" s="200"/>
    </row>
    <row r="114" spans="1:28" ht="13.8" thickBot="1">
      <c r="S114" s="268">
        <f t="shared" ref="S114:Z114" si="21">SUM(S47:S113)</f>
        <v>50.000000000000142</v>
      </c>
      <c r="T114" s="268">
        <f t="shared" si="21"/>
        <v>19.999999999999929</v>
      </c>
      <c r="U114" s="268">
        <f t="shared" si="21"/>
        <v>0</v>
      </c>
      <c r="V114" s="268">
        <f t="shared" si="21"/>
        <v>0</v>
      </c>
      <c r="W114" s="268">
        <f t="shared" si="21"/>
        <v>0</v>
      </c>
      <c r="X114" s="268">
        <f t="shared" si="21"/>
        <v>0</v>
      </c>
      <c r="Y114" s="268">
        <f t="shared" si="21"/>
        <v>0</v>
      </c>
      <c r="Z114" s="268">
        <f t="shared" si="21"/>
        <v>239.99999999999994</v>
      </c>
      <c r="AA114" s="269">
        <f>SUM(S114:Z114)</f>
        <v>310</v>
      </c>
      <c r="AB114" s="200"/>
    </row>
    <row r="116" spans="1:28" ht="15">
      <c r="A116" s="1" t="s">
        <v>0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2"/>
      <c r="S116" s="2"/>
      <c r="T116" s="2"/>
      <c r="U116" s="2"/>
    </row>
    <row r="117" spans="1:28" ht="15.6" thickBot="1">
      <c r="A117" s="4" t="s">
        <v>132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  <c r="S117" s="5"/>
      <c r="T117" s="5"/>
      <c r="U117" s="5"/>
    </row>
    <row r="118" spans="1:28" ht="18" thickBot="1">
      <c r="A118" s="6" t="s">
        <v>100</v>
      </c>
      <c r="B118" s="7"/>
      <c r="C118" s="7"/>
      <c r="D118" s="7"/>
      <c r="E118" s="8"/>
      <c r="F118" s="270"/>
      <c r="G118" s="271"/>
      <c r="H118" s="272"/>
      <c r="I118" s="11" t="s">
        <v>4</v>
      </c>
      <c r="J118" s="12">
        <v>6000</v>
      </c>
      <c r="K118" s="13" t="s">
        <v>5</v>
      </c>
      <c r="L118" s="13">
        <v>720</v>
      </c>
      <c r="V118" s="14" t="s">
        <v>6</v>
      </c>
    </row>
    <row r="119" spans="1:28" ht="20.25" customHeight="1">
      <c r="A119" s="295" t="s">
        <v>7</v>
      </c>
      <c r="B119" s="295"/>
      <c r="C119" s="295"/>
      <c r="D119" s="295"/>
      <c r="E119" s="295"/>
      <c r="F119" s="295" t="s">
        <v>8</v>
      </c>
      <c r="G119" s="295"/>
      <c r="H119" s="295"/>
      <c r="I119" s="295" t="s">
        <v>9</v>
      </c>
      <c r="J119" s="295"/>
      <c r="K119" s="295" t="s">
        <v>10</v>
      </c>
      <c r="L119" s="295"/>
      <c r="M119" s="23"/>
      <c r="N119" s="24" t="s">
        <v>11</v>
      </c>
      <c r="O119" s="25"/>
      <c r="P119" s="25"/>
      <c r="Q119" s="25"/>
      <c r="R119" s="25"/>
      <c r="S119" s="25"/>
      <c r="T119" s="25"/>
      <c r="U119" s="25"/>
      <c r="V119" s="14" t="s">
        <v>12</v>
      </c>
      <c r="X119" s="26"/>
    </row>
    <row r="120" spans="1:28" ht="13.8">
      <c r="A120" s="27" t="s">
        <v>13</v>
      </c>
      <c r="B120" s="28"/>
      <c r="C120" s="28"/>
      <c r="D120" s="28"/>
      <c r="E120" s="28"/>
      <c r="F120" s="296" t="s">
        <v>101</v>
      </c>
      <c r="G120" s="296"/>
      <c r="H120" s="296"/>
      <c r="I120" s="297" t="s">
        <v>15</v>
      </c>
      <c r="J120" s="297" t="s">
        <v>15</v>
      </c>
      <c r="K120" s="296" t="s">
        <v>133</v>
      </c>
      <c r="L120" s="296"/>
      <c r="N120" s="33"/>
      <c r="O120" s="34" t="s">
        <v>17</v>
      </c>
      <c r="P120" s="35"/>
      <c r="Q120" s="35"/>
      <c r="R120" s="36"/>
      <c r="S120" s="36"/>
      <c r="T120" s="36"/>
      <c r="U120" s="36"/>
      <c r="V120" s="14" t="s">
        <v>18</v>
      </c>
      <c r="X120" s="37"/>
    </row>
    <row r="121" spans="1:28" ht="13.8">
      <c r="A121" s="27" t="s">
        <v>19</v>
      </c>
      <c r="B121" s="28"/>
      <c r="C121" s="28"/>
      <c r="D121" s="28"/>
      <c r="E121" s="29"/>
      <c r="F121" s="296" t="s">
        <v>103</v>
      </c>
      <c r="G121" s="296"/>
      <c r="H121" s="296"/>
      <c r="I121" s="297" t="s">
        <v>21</v>
      </c>
      <c r="J121" s="297" t="s">
        <v>21</v>
      </c>
      <c r="K121" s="296" t="s">
        <v>134</v>
      </c>
      <c r="L121" s="296"/>
      <c r="N121" s="38"/>
      <c r="O121" s="39"/>
      <c r="P121" s="40"/>
      <c r="Q121" s="40"/>
      <c r="R121" s="41"/>
      <c r="S121" s="41"/>
      <c r="T121" s="41"/>
      <c r="U121" s="41"/>
      <c r="V121" s="14" t="s">
        <v>23</v>
      </c>
      <c r="X121" s="37"/>
    </row>
    <row r="122" spans="1:28" ht="16.5" customHeight="1">
      <c r="A122" s="297" t="s">
        <v>24</v>
      </c>
      <c r="B122" s="297"/>
      <c r="C122" s="297"/>
      <c r="D122" s="297"/>
      <c r="E122" s="42"/>
      <c r="F122" s="296"/>
      <c r="G122" s="296"/>
      <c r="H122" s="296"/>
      <c r="I122" s="297" t="s">
        <v>114</v>
      </c>
      <c r="J122" s="297" t="s">
        <v>114</v>
      </c>
      <c r="K122" s="296" t="s">
        <v>135</v>
      </c>
      <c r="L122" s="296"/>
      <c r="N122" s="43"/>
      <c r="O122" s="34" t="s">
        <v>28</v>
      </c>
      <c r="P122" s="35"/>
      <c r="Q122" s="44"/>
      <c r="R122" s="45"/>
      <c r="S122" s="45"/>
      <c r="T122" s="45"/>
      <c r="U122" s="45"/>
      <c r="V122" s="14" t="s">
        <v>29</v>
      </c>
      <c r="X122" s="37"/>
    </row>
    <row r="123" spans="1:28" ht="16.5" customHeight="1">
      <c r="A123" s="297"/>
      <c r="B123" s="297"/>
      <c r="C123" s="297"/>
      <c r="D123" s="297"/>
      <c r="E123" s="297"/>
      <c r="F123" s="296"/>
      <c r="G123" s="296"/>
      <c r="H123" s="296"/>
      <c r="I123" s="297" t="s">
        <v>117</v>
      </c>
      <c r="J123" s="297" t="s">
        <v>117</v>
      </c>
      <c r="K123" s="296" t="s">
        <v>136</v>
      </c>
      <c r="L123" s="296"/>
      <c r="N123" s="46"/>
      <c r="O123" s="47"/>
      <c r="P123" s="48"/>
      <c r="Q123" s="49"/>
      <c r="R123" s="50"/>
      <c r="S123" s="50"/>
      <c r="T123" s="50"/>
      <c r="U123" s="50"/>
      <c r="V123" s="14" t="s">
        <v>31</v>
      </c>
      <c r="X123" s="37"/>
    </row>
    <row r="124" spans="1:28" ht="13.8">
      <c r="A124" s="297"/>
      <c r="B124" s="297"/>
      <c r="C124" s="297"/>
      <c r="D124" s="297"/>
      <c r="E124" s="297"/>
      <c r="F124" s="296"/>
      <c r="G124" s="296"/>
      <c r="H124" s="296"/>
      <c r="I124" s="297" t="s">
        <v>119</v>
      </c>
      <c r="J124" s="297" t="s">
        <v>119</v>
      </c>
      <c r="K124" s="296" t="s">
        <v>137</v>
      </c>
      <c r="L124" s="296"/>
      <c r="N124" s="273"/>
      <c r="O124" s="273"/>
      <c r="P124" s="274"/>
      <c r="Q124" s="274"/>
      <c r="R124" s="275"/>
      <c r="S124" s="275"/>
      <c r="T124" s="275"/>
      <c r="U124" s="275"/>
      <c r="V124" s="14" t="s">
        <v>34</v>
      </c>
      <c r="X124" s="37"/>
    </row>
    <row r="125" spans="1:28" ht="14.4" customHeight="1">
      <c r="A125" s="297"/>
      <c r="B125" s="297"/>
      <c r="C125" s="297"/>
      <c r="D125" s="297"/>
      <c r="E125" s="297"/>
      <c r="F125" s="296"/>
      <c r="G125" s="296"/>
      <c r="H125" s="296"/>
      <c r="I125" s="297" t="s">
        <v>121</v>
      </c>
      <c r="J125" s="297" t="s">
        <v>121</v>
      </c>
      <c r="K125" s="276" t="s">
        <v>106</v>
      </c>
      <c r="L125" s="277"/>
      <c r="N125" s="278"/>
      <c r="O125" s="278"/>
      <c r="P125" s="275"/>
      <c r="Q125" s="275"/>
      <c r="R125" s="275"/>
      <c r="S125" s="275"/>
      <c r="T125" s="275"/>
      <c r="U125" s="275"/>
      <c r="V125" s="14"/>
      <c r="X125" s="37"/>
    </row>
    <row r="126" spans="1:28" ht="14.4" customHeight="1">
      <c r="A126" s="297"/>
      <c r="B126" s="297"/>
      <c r="C126" s="297"/>
      <c r="D126" s="297"/>
      <c r="E126" s="297"/>
      <c r="F126" s="296"/>
      <c r="G126" s="296"/>
      <c r="H126" s="296"/>
      <c r="I126" s="297" t="s">
        <v>117</v>
      </c>
      <c r="J126" s="297" t="s">
        <v>117</v>
      </c>
      <c r="K126" s="296" t="s">
        <v>138</v>
      </c>
      <c r="L126" s="296"/>
      <c r="N126" s="278"/>
      <c r="O126" s="278"/>
      <c r="P126" s="275"/>
      <c r="Q126" s="275"/>
      <c r="R126" s="275"/>
      <c r="S126" s="275"/>
      <c r="T126" s="275"/>
      <c r="U126" s="275"/>
      <c r="V126" s="14"/>
      <c r="X126" s="37"/>
    </row>
    <row r="127" spans="1:28" ht="14.4" customHeight="1">
      <c r="A127" s="297"/>
      <c r="B127" s="297"/>
      <c r="C127" s="297"/>
      <c r="D127" s="297"/>
      <c r="E127" s="297"/>
      <c r="F127" s="296"/>
      <c r="G127" s="296"/>
      <c r="H127" s="296"/>
      <c r="I127" s="297" t="s">
        <v>108</v>
      </c>
      <c r="J127" s="297"/>
      <c r="K127" s="276" t="s">
        <v>139</v>
      </c>
      <c r="L127" s="277"/>
      <c r="N127" s="278"/>
      <c r="O127" s="278"/>
      <c r="P127" s="275"/>
      <c r="Q127" s="275"/>
      <c r="R127" s="275"/>
      <c r="S127" s="275"/>
      <c r="T127" s="275"/>
      <c r="U127" s="275"/>
      <c r="V127" s="14"/>
      <c r="X127" s="37"/>
    </row>
    <row r="128" spans="1:28" ht="14.4" customHeight="1" thickBot="1">
      <c r="A128" s="297"/>
      <c r="B128" s="297"/>
      <c r="C128" s="297"/>
      <c r="D128" s="297"/>
      <c r="E128" s="297"/>
      <c r="F128" s="296"/>
      <c r="G128" s="296"/>
      <c r="H128" s="296"/>
      <c r="I128" s="297"/>
      <c r="J128" s="297"/>
      <c r="K128" s="276"/>
      <c r="L128" s="277"/>
      <c r="N128" s="278"/>
      <c r="O128" s="278"/>
      <c r="P128" s="275"/>
      <c r="Q128" s="275"/>
      <c r="R128" s="275"/>
      <c r="S128" s="275"/>
      <c r="T128" s="275"/>
      <c r="U128" s="275"/>
      <c r="V128" s="14"/>
      <c r="X128" s="37"/>
    </row>
    <row r="129" spans="1:24" ht="18.75" customHeight="1" thickBot="1">
      <c r="A129" s="55" t="s">
        <v>38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7"/>
      <c r="N129" s="58" t="s">
        <v>39</v>
      </c>
      <c r="O129" s="59"/>
      <c r="P129" s="59"/>
      <c r="Q129" s="59"/>
      <c r="R129" s="59"/>
      <c r="S129" s="59"/>
      <c r="T129" s="59"/>
      <c r="U129" s="60"/>
      <c r="V129" s="14" t="s">
        <v>40</v>
      </c>
      <c r="X129" s="37"/>
    </row>
    <row r="130" spans="1:24" ht="8.25" customHeight="1">
      <c r="A130" s="61" t="s">
        <v>41</v>
      </c>
      <c r="B130" s="61" t="s">
        <v>42</v>
      </c>
      <c r="C130" s="61" t="s">
        <v>43</v>
      </c>
      <c r="D130" s="61" t="s">
        <v>44</v>
      </c>
      <c r="E130" s="61" t="s">
        <v>45</v>
      </c>
      <c r="F130" s="61" t="s">
        <v>46</v>
      </c>
      <c r="G130" s="61" t="s">
        <v>47</v>
      </c>
      <c r="H130" s="61" t="s">
        <v>48</v>
      </c>
      <c r="I130" s="61" t="s">
        <v>49</v>
      </c>
      <c r="J130" s="61" t="s">
        <v>50</v>
      </c>
      <c r="K130" s="61" t="s">
        <v>51</v>
      </c>
      <c r="L130" s="61" t="s">
        <v>52</v>
      </c>
      <c r="N130" s="62" t="s">
        <v>53</v>
      </c>
      <c r="O130" s="62"/>
      <c r="P130" s="63" t="s">
        <v>54</v>
      </c>
      <c r="Q130" s="64"/>
      <c r="R130" s="64"/>
      <c r="S130" s="64"/>
      <c r="T130" s="64"/>
      <c r="U130" s="65"/>
      <c r="V130" s="62" t="s">
        <v>55</v>
      </c>
      <c r="X130" s="37"/>
    </row>
    <row r="131" spans="1:24" ht="12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N131" s="62"/>
      <c r="O131" s="62"/>
      <c r="P131" s="67"/>
      <c r="Q131" s="68"/>
      <c r="R131" s="68"/>
      <c r="S131" s="68"/>
      <c r="T131" s="68"/>
      <c r="U131" s="69"/>
      <c r="V131" s="62"/>
      <c r="X131" s="37"/>
    </row>
    <row r="132" spans="1:24" ht="12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N132" s="62"/>
      <c r="O132" s="62"/>
      <c r="P132" s="67"/>
      <c r="Q132" s="68"/>
      <c r="R132" s="68"/>
      <c r="S132" s="68"/>
      <c r="T132" s="68"/>
      <c r="U132" s="69"/>
      <c r="V132" s="62"/>
      <c r="X132" s="37"/>
    </row>
    <row r="133" spans="1:24" ht="3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N133" s="62"/>
      <c r="O133" s="62"/>
      <c r="P133" s="70"/>
      <c r="Q133" s="71"/>
      <c r="R133" s="71"/>
      <c r="S133" s="71"/>
      <c r="T133" s="71"/>
      <c r="U133" s="72"/>
      <c r="V133" s="62"/>
      <c r="X133" s="37"/>
    </row>
    <row r="134" spans="1:24" ht="45.75" customHeight="1" thickBot="1">
      <c r="A134" s="66"/>
      <c r="B134" s="66"/>
      <c r="C134" s="66"/>
      <c r="D134" s="73"/>
      <c r="E134" s="73"/>
      <c r="F134" s="73"/>
      <c r="G134" s="73"/>
      <c r="H134" s="73"/>
      <c r="I134" s="73"/>
      <c r="J134" s="73"/>
      <c r="K134" s="73"/>
      <c r="L134" s="66"/>
      <c r="M134" s="74"/>
      <c r="N134" s="75" t="s">
        <v>56</v>
      </c>
      <c r="O134" s="75"/>
      <c r="P134" s="76">
        <f>SUM(S162:S173)</f>
        <v>0</v>
      </c>
      <c r="Q134" s="76">
        <f>SUM(S174:S184)</f>
        <v>0</v>
      </c>
      <c r="R134" s="76">
        <f>SUM(S185:S195)</f>
        <v>0</v>
      </c>
      <c r="S134" s="76">
        <f>SUM(S196:S206)</f>
        <v>0</v>
      </c>
      <c r="T134" s="76">
        <f>SUM(S207:S217)</f>
        <v>0</v>
      </c>
      <c r="U134" s="76">
        <f>SUM(S218:S228)</f>
        <v>0</v>
      </c>
      <c r="V134" s="77">
        <f t="shared" ref="V134:V141" si="22">P134+Q134+R134+S134+T134+U134</f>
        <v>0</v>
      </c>
      <c r="X134" s="37"/>
    </row>
    <row r="135" spans="1:24" ht="16.95" customHeight="1" thickBot="1">
      <c r="A135" s="78"/>
      <c r="B135" s="78"/>
      <c r="C135" s="78"/>
      <c r="D135" s="79" t="s">
        <v>57</v>
      </c>
      <c r="E135" s="79" t="s">
        <v>58</v>
      </c>
      <c r="F135" s="79" t="s">
        <v>57</v>
      </c>
      <c r="G135" s="79"/>
      <c r="H135" s="79" t="s">
        <v>57</v>
      </c>
      <c r="I135" s="79"/>
      <c r="J135" s="79" t="s">
        <v>59</v>
      </c>
      <c r="K135" s="79" t="s">
        <v>59</v>
      </c>
      <c r="L135" s="81" t="s">
        <v>60</v>
      </c>
      <c r="N135" s="82" t="s">
        <v>61</v>
      </c>
      <c r="O135" s="82"/>
      <c r="P135" s="76">
        <f>SUM(T161:T172)</f>
        <v>0</v>
      </c>
      <c r="Q135" s="76">
        <f>SUM(T173:T183)</f>
        <v>0</v>
      </c>
      <c r="R135" s="76">
        <f>SUM(T184:T194)</f>
        <v>0</v>
      </c>
      <c r="S135" s="76">
        <f>SUM(T195:T205)</f>
        <v>0</v>
      </c>
      <c r="T135" s="76">
        <f>SUM(T206:T216)</f>
        <v>0</v>
      </c>
      <c r="U135" s="76">
        <f>SUM(T217:T227)</f>
        <v>0</v>
      </c>
      <c r="V135" s="77">
        <f t="shared" si="22"/>
        <v>0</v>
      </c>
    </row>
    <row r="136" spans="1:24" ht="17.25" customHeight="1">
      <c r="A136" s="61">
        <f>A152</f>
        <v>0</v>
      </c>
      <c r="B136" s="83"/>
      <c r="C136" s="83"/>
      <c r="D136" s="84">
        <f>(C136-B136+(C136&lt;B136))*24*60</f>
        <v>0</v>
      </c>
      <c r="E136" s="85"/>
      <c r="F136" s="86">
        <f>IF(E136=0,0,(F152/J118*60))</f>
        <v>0</v>
      </c>
      <c r="G136" s="87">
        <f>IF($K136=0,0,(K136*100)/(D136*$J$3/60))</f>
        <v>0</v>
      </c>
      <c r="H136" s="86">
        <f>P134+P141</f>
        <v>0</v>
      </c>
      <c r="I136" s="87">
        <f>D136-F136-P142</f>
        <v>0</v>
      </c>
      <c r="J136" s="84">
        <f>(D136-H136)/60*E136</f>
        <v>0</v>
      </c>
      <c r="K136" s="279">
        <f>F152</f>
        <v>0</v>
      </c>
      <c r="L136" s="89">
        <f>IF($K136=0,0,K136/J136)</f>
        <v>0</v>
      </c>
      <c r="N136" s="82" t="s">
        <v>62</v>
      </c>
      <c r="O136" s="82"/>
      <c r="P136" s="76">
        <f>SUM(U161:U172)</f>
        <v>0</v>
      </c>
      <c r="Q136" s="76">
        <f>SUM(U173:U183)</f>
        <v>0</v>
      </c>
      <c r="R136" s="76">
        <f>SUM(U184:U194)</f>
        <v>0</v>
      </c>
      <c r="S136" s="76">
        <f>SUM(U195:U205)</f>
        <v>0</v>
      </c>
      <c r="T136" s="76">
        <f>SUM(U206:U216)</f>
        <v>0</v>
      </c>
      <c r="U136" s="76">
        <f>SUM(U217:U227)</f>
        <v>0</v>
      </c>
      <c r="V136" s="77">
        <f t="shared" si="22"/>
        <v>0</v>
      </c>
      <c r="W136" s="53"/>
    </row>
    <row r="137" spans="1:24" ht="17.25" customHeight="1" thickBot="1">
      <c r="A137" s="78"/>
      <c r="B137" s="90"/>
      <c r="C137" s="90"/>
      <c r="D137" s="91"/>
      <c r="E137" s="92"/>
      <c r="F137" s="93"/>
      <c r="G137" s="94"/>
      <c r="H137" s="93"/>
      <c r="I137" s="94"/>
      <c r="J137" s="91"/>
      <c r="K137" s="95"/>
      <c r="L137" s="145">
        <f>K136-J136</f>
        <v>0</v>
      </c>
      <c r="N137" s="82" t="s">
        <v>63</v>
      </c>
      <c r="O137" s="82"/>
      <c r="P137" s="76">
        <f>SUM(V161:V172)</f>
        <v>0</v>
      </c>
      <c r="Q137" s="76">
        <f>SUM(V173:V183)</f>
        <v>0</v>
      </c>
      <c r="R137" s="76">
        <f>SUM(V184:V194)</f>
        <v>0</v>
      </c>
      <c r="S137" s="76">
        <f>SUM(V195:V205)</f>
        <v>0</v>
      </c>
      <c r="T137" s="76">
        <f>SUM(V206:V216)</f>
        <v>0</v>
      </c>
      <c r="U137" s="76">
        <f>SUM(V217:V227)</f>
        <v>0</v>
      </c>
      <c r="V137" s="77">
        <f t="shared" si="22"/>
        <v>0</v>
      </c>
      <c r="W137" s="53"/>
    </row>
    <row r="138" spans="1:24" ht="17.25" customHeight="1">
      <c r="A138" s="61">
        <f>A153</f>
        <v>0</v>
      </c>
      <c r="B138" s="83"/>
      <c r="C138" s="83"/>
      <c r="D138" s="84">
        <f>(C138-B138+(C138&lt;B138))*24*60</f>
        <v>0</v>
      </c>
      <c r="E138" s="85"/>
      <c r="F138" s="86">
        <f>IF(E138=0,0,(F153/J118*60))</f>
        <v>0</v>
      </c>
      <c r="G138" s="87">
        <f>IF($K138=0,0,(K138*100)/(D138*$J$3/60))</f>
        <v>0</v>
      </c>
      <c r="H138" s="86">
        <f>Q134+Q141</f>
        <v>0</v>
      </c>
      <c r="I138" s="87">
        <f>D138-F138-Q142</f>
        <v>0</v>
      </c>
      <c r="J138" s="84">
        <f>(D138-H138)/60*E138</f>
        <v>0</v>
      </c>
      <c r="K138" s="279">
        <f>F153</f>
        <v>0</v>
      </c>
      <c r="L138" s="97">
        <f>IF($K138=0,0,K138/J138)</f>
        <v>0</v>
      </c>
      <c r="N138" s="82" t="s">
        <v>64</v>
      </c>
      <c r="O138" s="82"/>
      <c r="P138" s="76">
        <f>SUM(W161:W172)</f>
        <v>0</v>
      </c>
      <c r="Q138" s="76">
        <f>SUM(W173:W183)</f>
        <v>0</v>
      </c>
      <c r="R138" s="76">
        <f>SUM(W184:W194)</f>
        <v>0</v>
      </c>
      <c r="S138" s="76">
        <f>SUM(W195:W205)</f>
        <v>0</v>
      </c>
      <c r="T138" s="76">
        <f>SUM(W206:W216)</f>
        <v>0</v>
      </c>
      <c r="U138" s="76">
        <f>SUM(W217:W227)</f>
        <v>0</v>
      </c>
      <c r="V138" s="77">
        <f t="shared" si="22"/>
        <v>0</v>
      </c>
      <c r="W138" s="53"/>
    </row>
    <row r="139" spans="1:24" ht="16.95" customHeight="1" thickBot="1">
      <c r="A139" s="78"/>
      <c r="B139" s="90"/>
      <c r="C139" s="90"/>
      <c r="D139" s="91"/>
      <c r="E139" s="92"/>
      <c r="F139" s="93"/>
      <c r="G139" s="94"/>
      <c r="H139" s="93"/>
      <c r="I139" s="94"/>
      <c r="J139" s="91"/>
      <c r="K139" s="280"/>
      <c r="L139" s="96">
        <f>K138-J138</f>
        <v>0</v>
      </c>
      <c r="N139" s="98" t="s">
        <v>65</v>
      </c>
      <c r="O139" s="98"/>
      <c r="P139" s="76">
        <f>SUM(X161:X172)</f>
        <v>0</v>
      </c>
      <c r="Q139" s="76">
        <f>SUM(X173:X183)</f>
        <v>0</v>
      </c>
      <c r="R139" s="76">
        <f>SUM(X184:X194)</f>
        <v>0</v>
      </c>
      <c r="S139" s="76">
        <f>SUM(X195:X205)</f>
        <v>0</v>
      </c>
      <c r="T139" s="76">
        <f>SUM(X206:X216)</f>
        <v>0</v>
      </c>
      <c r="U139" s="76">
        <f>SUM(X217:X227)</f>
        <v>0</v>
      </c>
      <c r="V139" s="77">
        <f t="shared" si="22"/>
        <v>0</v>
      </c>
      <c r="W139" s="53"/>
    </row>
    <row r="140" spans="1:24" ht="16.95" customHeight="1" collapsed="1">
      <c r="A140" s="61">
        <f>A154</f>
        <v>0</v>
      </c>
      <c r="B140" s="83"/>
      <c r="C140" s="83"/>
      <c r="D140" s="84">
        <f>(C140-B140+(C140&lt;B140))*24*60</f>
        <v>0</v>
      </c>
      <c r="E140" s="85"/>
      <c r="F140" s="86">
        <f>IF(E140=0,0,(F154/J118*60))</f>
        <v>0</v>
      </c>
      <c r="G140" s="87">
        <f>IF($K140=0,0,(K140*100)/(D140*$J$3/60))</f>
        <v>0</v>
      </c>
      <c r="H140" s="86">
        <f>R134+R141</f>
        <v>0</v>
      </c>
      <c r="I140" s="87">
        <f>D140-F140-R142</f>
        <v>0</v>
      </c>
      <c r="J140" s="84">
        <f>(D140-H140)/60*E140</f>
        <v>0</v>
      </c>
      <c r="K140" s="279">
        <f>F154</f>
        <v>0</v>
      </c>
      <c r="L140" s="89">
        <f>IF($K140=0,0,K140/J140)</f>
        <v>0</v>
      </c>
      <c r="N140" s="98" t="s">
        <v>66</v>
      </c>
      <c r="O140" s="98"/>
      <c r="P140" s="76">
        <f>SUM(Y161:Y172)</f>
        <v>0</v>
      </c>
      <c r="Q140" s="76">
        <f>SUM(Y173:Y183)</f>
        <v>0</v>
      </c>
      <c r="R140" s="76">
        <f>SUM(Y184:Y194)</f>
        <v>0</v>
      </c>
      <c r="S140" s="76">
        <f>SUM(Y195:Y205)</f>
        <v>0</v>
      </c>
      <c r="T140" s="76">
        <f>SUM(Y206:Y216)</f>
        <v>0</v>
      </c>
      <c r="U140" s="76">
        <f>SUM(Y217:Y227)</f>
        <v>0</v>
      </c>
      <c r="V140" s="77">
        <f t="shared" si="22"/>
        <v>0</v>
      </c>
      <c r="W140" s="53"/>
      <c r="X140" s="53"/>
    </row>
    <row r="141" spans="1:24" ht="16.95" customHeight="1" thickBot="1">
      <c r="A141" s="78"/>
      <c r="B141" s="90"/>
      <c r="C141" s="90"/>
      <c r="D141" s="91"/>
      <c r="E141" s="92"/>
      <c r="F141" s="93"/>
      <c r="G141" s="94"/>
      <c r="H141" s="93"/>
      <c r="I141" s="94"/>
      <c r="J141" s="91"/>
      <c r="K141" s="280"/>
      <c r="L141" s="96">
        <f>K140-J140</f>
        <v>0</v>
      </c>
      <c r="N141" s="99" t="s">
        <v>67</v>
      </c>
      <c r="O141" s="99"/>
      <c r="P141" s="76">
        <f>SUM(Z161:Z172)</f>
        <v>0</v>
      </c>
      <c r="Q141" s="76">
        <f>SUM(Z173:Z183)</f>
        <v>0</v>
      </c>
      <c r="R141" s="76">
        <f>SUM(Z184:Z194)</f>
        <v>0</v>
      </c>
      <c r="S141" s="76">
        <f>SUM(Z195:Z205)</f>
        <v>0</v>
      </c>
      <c r="T141" s="76">
        <f>SUM(Z206:Z216)</f>
        <v>0</v>
      </c>
      <c r="U141" s="76">
        <f>SUM(Z217:Z227)</f>
        <v>0</v>
      </c>
      <c r="V141" s="77">
        <f t="shared" si="22"/>
        <v>0</v>
      </c>
      <c r="W141" s="53"/>
      <c r="X141" s="53"/>
    </row>
    <row r="142" spans="1:24" ht="16.95" customHeight="1" collapsed="1">
      <c r="A142" s="66">
        <f>A155</f>
        <v>0</v>
      </c>
      <c r="B142" s="100"/>
      <c r="C142" s="100"/>
      <c r="D142" s="101">
        <f>(C142-B142+(C142&lt;B142))*24*60</f>
        <v>0</v>
      </c>
      <c r="E142" s="102"/>
      <c r="F142" s="103">
        <f>IF(E142=0,0,(F155/J118*60))</f>
        <v>0</v>
      </c>
      <c r="G142" s="87">
        <f>IF($K142=0,0,(K142*100)/(D142*$J$3/60))</f>
        <v>0</v>
      </c>
      <c r="H142" s="103">
        <f>S134+S141</f>
        <v>0</v>
      </c>
      <c r="I142" s="104">
        <f>D142-F142-S142</f>
        <v>0</v>
      </c>
      <c r="J142" s="101">
        <f>(D142-H142)/60*E142</f>
        <v>0</v>
      </c>
      <c r="K142" s="279">
        <f>F155</f>
        <v>0</v>
      </c>
      <c r="L142" s="89">
        <f>IF($K142=0,0,K142/J142)</f>
        <v>0</v>
      </c>
      <c r="N142" s="105" t="s">
        <v>68</v>
      </c>
      <c r="O142" s="105"/>
      <c r="P142" s="77">
        <f t="shared" ref="P142:U142" si="23">SUM(P133:P141)</f>
        <v>0</v>
      </c>
      <c r="Q142" s="77">
        <f t="shared" si="23"/>
        <v>0</v>
      </c>
      <c r="R142" s="77">
        <f t="shared" si="23"/>
        <v>0</v>
      </c>
      <c r="S142" s="77">
        <f t="shared" si="23"/>
        <v>0</v>
      </c>
      <c r="T142" s="77">
        <f t="shared" si="23"/>
        <v>0</v>
      </c>
      <c r="U142" s="77">
        <f t="shared" si="23"/>
        <v>0</v>
      </c>
      <c r="V142" s="77">
        <f>P142+Q142+R142+S142+T142+U142</f>
        <v>0</v>
      </c>
      <c r="W142" s="53"/>
      <c r="X142" s="53"/>
    </row>
    <row r="143" spans="1:24" ht="16.95" customHeight="1" thickBot="1">
      <c r="A143" s="78"/>
      <c r="B143" s="90"/>
      <c r="C143" s="90"/>
      <c r="D143" s="91"/>
      <c r="E143" s="92"/>
      <c r="F143" s="93"/>
      <c r="G143" s="94"/>
      <c r="H143" s="93"/>
      <c r="I143" s="94"/>
      <c r="J143" s="91"/>
      <c r="K143" s="280"/>
      <c r="L143" s="96">
        <f>K142-J142</f>
        <v>0</v>
      </c>
      <c r="N143" s="105"/>
      <c r="O143" s="105"/>
      <c r="P143" s="77"/>
      <c r="Q143" s="77"/>
      <c r="R143" s="77"/>
      <c r="S143" s="77"/>
      <c r="T143" s="77"/>
      <c r="U143" s="77"/>
      <c r="V143" s="77"/>
      <c r="W143" s="53"/>
      <c r="X143" s="53"/>
    </row>
    <row r="144" spans="1:24" ht="16.95" customHeight="1">
      <c r="A144" s="61">
        <f>A156</f>
        <v>0</v>
      </c>
      <c r="B144" s="83"/>
      <c r="C144" s="83"/>
      <c r="D144" s="84">
        <f>(C144-B144+(C144&lt;B144))*24*60</f>
        <v>0</v>
      </c>
      <c r="E144" s="85"/>
      <c r="F144" s="86">
        <f>IF(E144=0,0,(F156/J118*60))</f>
        <v>0</v>
      </c>
      <c r="G144" s="87">
        <f>IF($K144=0,0,(K144*100)/(D144*$J$3/60))</f>
        <v>0</v>
      </c>
      <c r="H144" s="86">
        <f>T134+T141</f>
        <v>0</v>
      </c>
      <c r="I144" s="87">
        <f>D144-F144-T142</f>
        <v>0</v>
      </c>
      <c r="J144" s="84">
        <f>(D144-H144)/60*E144</f>
        <v>0</v>
      </c>
      <c r="K144" s="279">
        <f>F156</f>
        <v>0</v>
      </c>
      <c r="L144" s="89">
        <f>IF($K144=0,0,K144/J144)</f>
        <v>0</v>
      </c>
      <c r="V144" s="53"/>
      <c r="W144" s="53"/>
      <c r="X144" s="53"/>
    </row>
    <row r="145" spans="1:27" ht="16.95" customHeight="1" thickBot="1">
      <c r="A145" s="78"/>
      <c r="B145" s="90"/>
      <c r="C145" s="90"/>
      <c r="D145" s="91"/>
      <c r="E145" s="92"/>
      <c r="F145" s="93"/>
      <c r="G145" s="94"/>
      <c r="H145" s="93"/>
      <c r="I145" s="94"/>
      <c r="J145" s="91"/>
      <c r="K145" s="280"/>
      <c r="L145" s="96">
        <f>K144-J144</f>
        <v>0</v>
      </c>
      <c r="V145" s="53"/>
      <c r="W145" s="53"/>
      <c r="X145" s="53"/>
    </row>
    <row r="146" spans="1:27" ht="16.95" customHeight="1">
      <c r="A146" s="61">
        <f>A157</f>
        <v>0</v>
      </c>
      <c r="B146" s="83"/>
      <c r="C146" s="83"/>
      <c r="D146" s="84">
        <f>(C146-B146+(C146&lt;B146))*24*60</f>
        <v>0</v>
      </c>
      <c r="E146" s="85"/>
      <c r="F146" s="86">
        <f>IF(E146=0,0,(F157/J118*60))</f>
        <v>0</v>
      </c>
      <c r="G146" s="87">
        <f>IF($K146=0,0,(K146*100)/(D146*$J$3/60))</f>
        <v>0</v>
      </c>
      <c r="H146" s="86">
        <f>U134+U141</f>
        <v>0</v>
      </c>
      <c r="I146" s="87">
        <f>D146-F146-U142</f>
        <v>0</v>
      </c>
      <c r="J146" s="84">
        <f>(D146-H146)/60*E146</f>
        <v>0</v>
      </c>
      <c r="K146" s="279">
        <f>F157</f>
        <v>0</v>
      </c>
      <c r="L146" s="89">
        <f>IF($K146=0,0,K146/J146)</f>
        <v>0</v>
      </c>
      <c r="V146" s="53"/>
      <c r="W146" s="53"/>
      <c r="X146" s="53"/>
    </row>
    <row r="147" spans="1:27" ht="16.95" customHeight="1" thickBot="1">
      <c r="A147" s="78"/>
      <c r="B147" s="90"/>
      <c r="C147" s="90"/>
      <c r="D147" s="91"/>
      <c r="E147" s="92"/>
      <c r="F147" s="93"/>
      <c r="G147" s="94"/>
      <c r="H147" s="93"/>
      <c r="I147" s="94"/>
      <c r="J147" s="101"/>
      <c r="K147" s="281"/>
      <c r="L147" s="107">
        <f>K146-J146</f>
        <v>0</v>
      </c>
      <c r="V147" s="53"/>
      <c r="W147" s="53"/>
      <c r="X147" s="53"/>
    </row>
    <row r="148" spans="1:27" s="113" customFormat="1" ht="17.25" customHeight="1">
      <c r="A148" s="108" t="s">
        <v>69</v>
      </c>
      <c r="B148" s="108"/>
      <c r="C148" s="108"/>
      <c r="D148" s="108"/>
      <c r="E148" s="108"/>
      <c r="F148" s="108"/>
      <c r="G148" s="108"/>
      <c r="H148" s="108"/>
      <c r="I148" s="109"/>
      <c r="J148" s="110" t="s">
        <v>70</v>
      </c>
      <c r="K148" s="111" t="s">
        <v>71</v>
      </c>
      <c r="L148" s="112">
        <f>IF($K149=0,0,K149/J149)</f>
        <v>0</v>
      </c>
      <c r="N148" s="3"/>
      <c r="O148" s="3"/>
      <c r="P148" s="3"/>
      <c r="Q148" s="3"/>
      <c r="R148" s="3"/>
      <c r="S148" s="3"/>
      <c r="T148" s="3"/>
      <c r="U148" s="3"/>
      <c r="V148" s="53"/>
      <c r="W148" s="114"/>
      <c r="X148" s="114"/>
    </row>
    <row r="149" spans="1:27" ht="17.25" customHeight="1" thickBot="1">
      <c r="A149" s="115"/>
      <c r="B149" s="115"/>
      <c r="C149" s="115"/>
      <c r="D149" s="115"/>
      <c r="E149" s="115"/>
      <c r="F149" s="115"/>
      <c r="G149" s="115"/>
      <c r="H149" s="115"/>
      <c r="I149" s="116"/>
      <c r="J149" s="117">
        <f>J136+J138+J140+J142+J144+J146</f>
        <v>0</v>
      </c>
      <c r="K149" s="111">
        <f>K136+K138+K140+K142+K144+K146</f>
        <v>0</v>
      </c>
      <c r="L149" s="118"/>
      <c r="M149" s="53"/>
      <c r="V149" s="53"/>
      <c r="W149" s="53"/>
      <c r="X149" s="53"/>
    </row>
    <row r="150" spans="1:27" ht="17.25" customHeight="1">
      <c r="A150" s="119" t="s">
        <v>72</v>
      </c>
      <c r="B150" s="120"/>
      <c r="C150" s="120"/>
      <c r="D150" s="120"/>
      <c r="E150" s="121"/>
      <c r="F150" s="61" t="s">
        <v>73</v>
      </c>
      <c r="G150" s="61" t="s">
        <v>74</v>
      </c>
      <c r="H150" s="122"/>
      <c r="I150" s="123"/>
      <c r="J150" s="124"/>
      <c r="K150" s="125"/>
      <c r="L150" s="126" t="s">
        <v>75</v>
      </c>
      <c r="M150" s="127"/>
      <c r="V150" s="53"/>
      <c r="W150" s="128"/>
      <c r="X150" s="128"/>
    </row>
    <row r="151" spans="1:27" ht="17.25" customHeight="1" thickBot="1">
      <c r="A151" s="129"/>
      <c r="B151" s="130"/>
      <c r="C151" s="130"/>
      <c r="D151" s="130"/>
      <c r="E151" s="131"/>
      <c r="F151" s="73"/>
      <c r="G151" s="73"/>
      <c r="H151" s="132"/>
      <c r="I151" s="133"/>
      <c r="J151" s="134"/>
      <c r="K151" s="135"/>
      <c r="L151" s="136"/>
      <c r="M151" s="127"/>
      <c r="V151" s="53"/>
      <c r="W151" s="128"/>
      <c r="X151" s="128"/>
    </row>
    <row r="152" spans="1:27" ht="15.6" thickBot="1">
      <c r="A152" s="282"/>
      <c r="B152" s="283"/>
      <c r="C152" s="283"/>
      <c r="D152" s="283"/>
      <c r="E152" s="284"/>
      <c r="F152" s="140"/>
      <c r="G152" s="141"/>
      <c r="H152" s="142"/>
      <c r="I152" s="143"/>
      <c r="J152" s="144"/>
      <c r="K152" s="145">
        <f>G152</f>
        <v>0</v>
      </c>
      <c r="L152" s="146"/>
      <c r="M152" s="147"/>
      <c r="V152" s="53"/>
      <c r="W152" s="53"/>
      <c r="X152" s="53"/>
    </row>
    <row r="153" spans="1:27" ht="13.5" customHeight="1" thickBot="1">
      <c r="A153" s="137"/>
      <c r="B153" s="138"/>
      <c r="C153" s="138"/>
      <c r="D153" s="138"/>
      <c r="E153" s="139"/>
      <c r="F153" s="140"/>
      <c r="G153" s="285"/>
      <c r="H153" s="149"/>
      <c r="I153" s="150"/>
      <c r="J153" s="151"/>
      <c r="K153" s="145">
        <f t="shared" ref="K153:K157" si="24">G153</f>
        <v>0</v>
      </c>
      <c r="L153" s="152"/>
      <c r="M153" s="147"/>
      <c r="V153" s="53"/>
      <c r="W153" s="53"/>
      <c r="X153" s="53"/>
    </row>
    <row r="154" spans="1:27" ht="13.5" customHeight="1" thickBot="1">
      <c r="A154" s="137"/>
      <c r="B154" s="138"/>
      <c r="C154" s="138"/>
      <c r="D154" s="138"/>
      <c r="E154" s="139"/>
      <c r="F154" s="140"/>
      <c r="G154" s="285"/>
      <c r="H154" s="149"/>
      <c r="I154" s="150"/>
      <c r="J154" s="151"/>
      <c r="K154" s="145">
        <f t="shared" si="24"/>
        <v>0</v>
      </c>
      <c r="L154" s="152"/>
      <c r="M154" s="147"/>
      <c r="V154" s="53"/>
      <c r="W154" s="53"/>
      <c r="X154" s="53"/>
    </row>
    <row r="155" spans="1:27" ht="13.5" customHeight="1" thickBot="1">
      <c r="A155" s="137"/>
      <c r="B155" s="138"/>
      <c r="C155" s="138"/>
      <c r="D155" s="138"/>
      <c r="E155" s="139"/>
      <c r="F155" s="140"/>
      <c r="G155" s="285"/>
      <c r="H155" s="149"/>
      <c r="I155" s="150"/>
      <c r="J155" s="151"/>
      <c r="K155" s="145">
        <f t="shared" si="24"/>
        <v>0</v>
      </c>
      <c r="L155" s="152"/>
      <c r="M155" s="147"/>
      <c r="V155" s="53"/>
      <c r="W155" s="53"/>
      <c r="X155" s="53"/>
    </row>
    <row r="156" spans="1:27" ht="13.5" customHeight="1" thickBot="1">
      <c r="A156" s="137"/>
      <c r="B156" s="138"/>
      <c r="C156" s="138"/>
      <c r="D156" s="138"/>
      <c r="E156" s="139"/>
      <c r="F156" s="140"/>
      <c r="G156" s="285"/>
      <c r="H156" s="149"/>
      <c r="I156" s="150"/>
      <c r="J156" s="151"/>
      <c r="K156" s="145">
        <f t="shared" si="24"/>
        <v>0</v>
      </c>
      <c r="L156" s="152"/>
      <c r="M156" s="147"/>
      <c r="V156" s="53"/>
      <c r="W156" s="53"/>
      <c r="X156" s="53"/>
    </row>
    <row r="157" spans="1:27" ht="13.5" customHeight="1" thickBot="1">
      <c r="A157" s="153"/>
      <c r="B157" s="154"/>
      <c r="C157" s="154"/>
      <c r="D157" s="154"/>
      <c r="E157" s="155"/>
      <c r="F157" s="140"/>
      <c r="G157" s="285"/>
      <c r="H157" s="149"/>
      <c r="I157" s="150"/>
      <c r="J157" s="151"/>
      <c r="K157" s="145">
        <f t="shared" si="24"/>
        <v>0</v>
      </c>
      <c r="L157" s="152"/>
      <c r="M157" s="147"/>
      <c r="V157" s="53"/>
      <c r="W157" s="53"/>
      <c r="X157" s="53"/>
    </row>
    <row r="158" spans="1:27" ht="13.8" thickBot="1">
      <c r="A158" s="156" t="s">
        <v>77</v>
      </c>
      <c r="B158" s="157"/>
      <c r="C158" s="157"/>
      <c r="D158" s="157"/>
      <c r="E158" s="157"/>
      <c r="F158" s="158"/>
      <c r="G158" s="158"/>
      <c r="H158" s="158"/>
      <c r="I158" s="158"/>
      <c r="J158" s="159"/>
      <c r="K158" s="160">
        <f>SUM(K152:K157)</f>
        <v>0</v>
      </c>
      <c r="L158" s="160">
        <f>SUM(L153+L153)</f>
        <v>0</v>
      </c>
      <c r="M158" s="161"/>
      <c r="V158" s="53"/>
    </row>
    <row r="159" spans="1:27" ht="12.75" customHeight="1" thickBot="1"/>
    <row r="160" spans="1:27" ht="12.75" customHeight="1" thickBot="1">
      <c r="A160" s="162" t="s">
        <v>72</v>
      </c>
      <c r="B160" s="162" t="s">
        <v>78</v>
      </c>
      <c r="C160" s="163"/>
      <c r="D160" s="164" t="s">
        <v>79</v>
      </c>
      <c r="E160" s="163" t="s">
        <v>80</v>
      </c>
      <c r="F160" s="165" t="s">
        <v>81</v>
      </c>
      <c r="G160" s="166"/>
      <c r="H160" s="164" t="s">
        <v>82</v>
      </c>
      <c r="I160" s="167" t="s">
        <v>83</v>
      </c>
      <c r="J160" s="168"/>
      <c r="K160" s="164" t="s">
        <v>84</v>
      </c>
      <c r="L160" s="162" t="s">
        <v>85</v>
      </c>
      <c r="M160" s="165"/>
      <c r="N160" s="166"/>
      <c r="O160" s="164" t="s">
        <v>86</v>
      </c>
      <c r="P160" s="164" t="s">
        <v>87</v>
      </c>
      <c r="Q160" s="164" t="s">
        <v>88</v>
      </c>
      <c r="S160" s="169" t="s">
        <v>89</v>
      </c>
      <c r="T160" s="170"/>
      <c r="U160" s="170"/>
      <c r="V160" s="170"/>
      <c r="W160" s="170"/>
      <c r="X160" s="170"/>
      <c r="Y160" s="170"/>
      <c r="Z160" s="170"/>
      <c r="AA160" s="171"/>
    </row>
    <row r="161" spans="1:28" s="23" customFormat="1" ht="25.5" customHeight="1" thickBot="1">
      <c r="A161" s="172"/>
      <c r="B161" s="172"/>
      <c r="C161" s="173"/>
      <c r="D161" s="174"/>
      <c r="E161" s="175"/>
      <c r="F161" s="176"/>
      <c r="G161" s="177"/>
      <c r="H161" s="178"/>
      <c r="I161" s="179" t="s">
        <v>90</v>
      </c>
      <c r="J161" s="180" t="s">
        <v>91</v>
      </c>
      <c r="K161" s="174"/>
      <c r="L161" s="172"/>
      <c r="M161" s="181"/>
      <c r="N161" s="182"/>
      <c r="O161" s="174"/>
      <c r="P161" s="174"/>
      <c r="Q161" s="174"/>
      <c r="R161" s="3"/>
      <c r="S161" s="183" t="s">
        <v>92</v>
      </c>
      <c r="T161" s="183" t="s">
        <v>61</v>
      </c>
      <c r="U161" s="183" t="s">
        <v>62</v>
      </c>
      <c r="V161" s="183" t="s">
        <v>63</v>
      </c>
      <c r="W161" s="183" t="s">
        <v>64</v>
      </c>
      <c r="X161" s="183" t="s">
        <v>65</v>
      </c>
      <c r="Y161" s="183" t="s">
        <v>66</v>
      </c>
      <c r="Z161" s="183" t="s">
        <v>67</v>
      </c>
    </row>
    <row r="162" spans="1:28" s="199" customFormat="1" ht="29.25" customHeight="1">
      <c r="A162" s="184">
        <f>A152</f>
        <v>0</v>
      </c>
      <c r="B162" s="185">
        <f>B136</f>
        <v>0</v>
      </c>
      <c r="C162" s="185">
        <f>B162+1/24</f>
        <v>4.1666666666666664E-2</v>
      </c>
      <c r="D162" s="186"/>
      <c r="E162" s="187"/>
      <c r="F162" s="188"/>
      <c r="G162" s="189"/>
      <c r="H162" s="190"/>
      <c r="I162" s="191"/>
      <c r="J162" s="191"/>
      <c r="K162" s="192">
        <f>(J162-I162+(J162&lt;I162))*24*60</f>
        <v>0</v>
      </c>
      <c r="L162" s="193"/>
      <c r="M162" s="194"/>
      <c r="N162" s="195"/>
      <c r="O162" s="196" t="str">
        <f t="shared" ref="O162:O206" si="25">IF(H162=$V$5,$F$122,"")</f>
        <v/>
      </c>
      <c r="P162" s="187"/>
      <c r="Q162" s="197"/>
      <c r="R162" s="3"/>
      <c r="S162" s="198">
        <f>IF($H162="ПЛАНОВЫЕ",$K162,0)</f>
        <v>0</v>
      </c>
      <c r="T162" s="198">
        <f>IF($H162="ПРОИЗВОДСТВЕННЫЕ",$K162,0)</f>
        <v>0</v>
      </c>
      <c r="U162" s="198">
        <f>IF($H162="ТЕХНИЧЕСКИЕ",$K162,0)</f>
        <v>0</v>
      </c>
      <c r="V162" s="198">
        <f>IF($H162="ТЕХНОЛОГИЧЕСКИЕ",$K162,0)</f>
        <v>0</v>
      </c>
      <c r="W162" s="198">
        <f>IF($H162="ЛАБОРАТОРНЫЕ",$K162,0)</f>
        <v>0</v>
      </c>
      <c r="X162" s="198">
        <f>IF($H162="СЫРЬЕВЫЕ",$K162,0)</f>
        <v>0</v>
      </c>
      <c r="Y162" s="198">
        <f>IF($H162="ЛОГИСТИЧЕСКИЕ",$K162,0)</f>
        <v>0</v>
      </c>
      <c r="Z162" s="198">
        <f>IF($H162="ОБЩЕЗАВОДСКИЕ",$K162,0)</f>
        <v>0</v>
      </c>
      <c r="AB162" s="200"/>
    </row>
    <row r="163" spans="1:28" s="199" customFormat="1" ht="29.25" customHeight="1">
      <c r="A163" s="201"/>
      <c r="B163" s="202">
        <f>C162</f>
        <v>4.1666666666666664E-2</v>
      </c>
      <c r="C163" s="202">
        <f>B163+1/24</f>
        <v>8.3333333333333329E-2</v>
      </c>
      <c r="D163" s="203"/>
      <c r="E163" s="204"/>
      <c r="F163" s="205"/>
      <c r="G163" s="206"/>
      <c r="H163" s="214"/>
      <c r="I163" s="207"/>
      <c r="J163" s="207"/>
      <c r="K163" s="208">
        <f t="shared" ref="K163:K226" si="26">(J163-I163+(J163&lt;I163))*24*60</f>
        <v>0</v>
      </c>
      <c r="L163" s="209"/>
      <c r="M163" s="210"/>
      <c r="N163" s="211"/>
      <c r="O163" s="212" t="str">
        <f t="shared" si="25"/>
        <v/>
      </c>
      <c r="P163" s="204"/>
      <c r="Q163" s="213"/>
      <c r="R163" s="3"/>
      <c r="S163" s="198">
        <f t="shared" ref="S163:S226" si="27">IF($H163="ПЛАНОВЫЕ",$K163,0)</f>
        <v>0</v>
      </c>
      <c r="T163" s="198">
        <f t="shared" ref="T163:T226" si="28">IF($H163="ПРОИЗВОДСТВЕННЫЕ",$K163,0)</f>
        <v>0</v>
      </c>
      <c r="U163" s="198">
        <f t="shared" ref="U163:U226" si="29">IF($H163="ТЕХНИЧЕСКИЕ",$K163,0)</f>
        <v>0</v>
      </c>
      <c r="V163" s="198">
        <f t="shared" ref="V163:V226" si="30">IF($H163="ТЕХНОЛОГИЧЕСКИЕ",$K163,0)</f>
        <v>0</v>
      </c>
      <c r="W163" s="198">
        <f t="shared" ref="W163:W226" si="31">IF($H163="ЛАБОРАТОРНЫЕ",$K163,0)</f>
        <v>0</v>
      </c>
      <c r="X163" s="198">
        <f t="shared" ref="X163:X226" si="32">IF($H163="СЫРЬЕВЫЕ",$K163,0)</f>
        <v>0</v>
      </c>
      <c r="Y163" s="198">
        <f t="shared" ref="Y163:Y226" si="33">IF($H163="ЛОГИСТИЧЕСКИЕ",$K163,0)</f>
        <v>0</v>
      </c>
      <c r="Z163" s="198">
        <f t="shared" ref="Z163:Z226" si="34">IF($H163="ОБЩЕЗАВОДСКИЕ",$K163,0)</f>
        <v>0</v>
      </c>
      <c r="AB163" s="200"/>
    </row>
    <row r="164" spans="1:28" s="199" customFormat="1" ht="29.25" customHeight="1">
      <c r="A164" s="201"/>
      <c r="B164" s="202">
        <f t="shared" ref="B164:B173" si="35">C163</f>
        <v>8.3333333333333329E-2</v>
      </c>
      <c r="C164" s="202">
        <f t="shared" ref="C164:C173" si="36">B164+1/24</f>
        <v>0.125</v>
      </c>
      <c r="D164" s="203"/>
      <c r="E164" s="204"/>
      <c r="F164" s="215"/>
      <c r="G164" s="215"/>
      <c r="H164" s="214"/>
      <c r="I164" s="207"/>
      <c r="J164" s="207"/>
      <c r="K164" s="208">
        <f t="shared" si="26"/>
        <v>0</v>
      </c>
      <c r="L164" s="209"/>
      <c r="M164" s="210"/>
      <c r="N164" s="211"/>
      <c r="O164" s="212" t="str">
        <f t="shared" si="25"/>
        <v/>
      </c>
      <c r="P164" s="204"/>
      <c r="Q164" s="213"/>
      <c r="R164" s="3"/>
      <c r="S164" s="198">
        <f t="shared" si="27"/>
        <v>0</v>
      </c>
      <c r="T164" s="198">
        <f t="shared" si="28"/>
        <v>0</v>
      </c>
      <c r="U164" s="198">
        <f t="shared" si="29"/>
        <v>0</v>
      </c>
      <c r="V164" s="198">
        <f t="shared" si="30"/>
        <v>0</v>
      </c>
      <c r="W164" s="198">
        <f t="shared" si="31"/>
        <v>0</v>
      </c>
      <c r="X164" s="198">
        <f t="shared" si="32"/>
        <v>0</v>
      </c>
      <c r="Y164" s="198">
        <f t="shared" si="33"/>
        <v>0</v>
      </c>
      <c r="Z164" s="198">
        <f t="shared" si="34"/>
        <v>0</v>
      </c>
      <c r="AB164" s="200"/>
    </row>
    <row r="165" spans="1:28" s="199" customFormat="1" ht="29.25" customHeight="1">
      <c r="A165" s="201"/>
      <c r="B165" s="202">
        <f t="shared" si="35"/>
        <v>0.125</v>
      </c>
      <c r="C165" s="202">
        <f t="shared" si="36"/>
        <v>0.16666666666666666</v>
      </c>
      <c r="D165" s="203"/>
      <c r="E165" s="204"/>
      <c r="F165" s="215"/>
      <c r="G165" s="215"/>
      <c r="H165" s="214"/>
      <c r="I165" s="207"/>
      <c r="J165" s="207"/>
      <c r="K165" s="208">
        <f t="shared" si="26"/>
        <v>0</v>
      </c>
      <c r="L165" s="209"/>
      <c r="M165" s="210"/>
      <c r="N165" s="211"/>
      <c r="O165" s="212" t="str">
        <f t="shared" si="25"/>
        <v/>
      </c>
      <c r="P165" s="204"/>
      <c r="Q165" s="213"/>
      <c r="R165" s="3"/>
      <c r="S165" s="198">
        <f t="shared" si="27"/>
        <v>0</v>
      </c>
      <c r="T165" s="198">
        <f t="shared" si="28"/>
        <v>0</v>
      </c>
      <c r="U165" s="198">
        <f t="shared" si="29"/>
        <v>0</v>
      </c>
      <c r="V165" s="198">
        <f t="shared" si="30"/>
        <v>0</v>
      </c>
      <c r="W165" s="198">
        <f t="shared" si="31"/>
        <v>0</v>
      </c>
      <c r="X165" s="198">
        <f t="shared" si="32"/>
        <v>0</v>
      </c>
      <c r="Y165" s="198">
        <f t="shared" si="33"/>
        <v>0</v>
      </c>
      <c r="Z165" s="198">
        <f t="shared" si="34"/>
        <v>0</v>
      </c>
      <c r="AB165" s="200"/>
    </row>
    <row r="166" spans="1:28" s="199" customFormat="1" ht="29.25" customHeight="1">
      <c r="A166" s="201"/>
      <c r="B166" s="202">
        <f t="shared" si="35"/>
        <v>0.16666666666666666</v>
      </c>
      <c r="C166" s="202">
        <f t="shared" si="36"/>
        <v>0.20833333333333331</v>
      </c>
      <c r="D166" s="203"/>
      <c r="E166" s="204"/>
      <c r="F166" s="215"/>
      <c r="G166" s="215"/>
      <c r="H166" s="214"/>
      <c r="I166" s="207"/>
      <c r="J166" s="207"/>
      <c r="K166" s="208">
        <f t="shared" si="26"/>
        <v>0</v>
      </c>
      <c r="L166" s="209"/>
      <c r="M166" s="210"/>
      <c r="N166" s="211"/>
      <c r="O166" s="212" t="str">
        <f t="shared" si="25"/>
        <v/>
      </c>
      <c r="P166" s="204"/>
      <c r="Q166" s="213"/>
      <c r="R166" s="3"/>
      <c r="S166" s="198">
        <f t="shared" si="27"/>
        <v>0</v>
      </c>
      <c r="T166" s="198">
        <f t="shared" si="28"/>
        <v>0</v>
      </c>
      <c r="U166" s="198">
        <f t="shared" si="29"/>
        <v>0</v>
      </c>
      <c r="V166" s="198">
        <f t="shared" si="30"/>
        <v>0</v>
      </c>
      <c r="W166" s="198">
        <f t="shared" si="31"/>
        <v>0</v>
      </c>
      <c r="X166" s="198">
        <f t="shared" si="32"/>
        <v>0</v>
      </c>
      <c r="Y166" s="198">
        <f t="shared" si="33"/>
        <v>0</v>
      </c>
      <c r="Z166" s="198">
        <f t="shared" si="34"/>
        <v>0</v>
      </c>
      <c r="AB166" s="200"/>
    </row>
    <row r="167" spans="1:28" s="199" customFormat="1" ht="29.25" customHeight="1">
      <c r="A167" s="201"/>
      <c r="B167" s="202">
        <f t="shared" si="35"/>
        <v>0.20833333333333331</v>
      </c>
      <c r="C167" s="202">
        <f t="shared" si="36"/>
        <v>0.24999999999999997</v>
      </c>
      <c r="D167" s="203"/>
      <c r="E167" s="204"/>
      <c r="F167" s="215"/>
      <c r="G167" s="215"/>
      <c r="H167" s="214"/>
      <c r="I167" s="207"/>
      <c r="J167" s="207"/>
      <c r="K167" s="208">
        <f t="shared" si="26"/>
        <v>0</v>
      </c>
      <c r="L167" s="209"/>
      <c r="M167" s="210"/>
      <c r="N167" s="211"/>
      <c r="O167" s="212" t="str">
        <f t="shared" si="25"/>
        <v/>
      </c>
      <c r="P167" s="204"/>
      <c r="Q167" s="213"/>
      <c r="R167" s="3"/>
      <c r="S167" s="198">
        <f t="shared" si="27"/>
        <v>0</v>
      </c>
      <c r="T167" s="198">
        <f t="shared" si="28"/>
        <v>0</v>
      </c>
      <c r="U167" s="198">
        <f t="shared" si="29"/>
        <v>0</v>
      </c>
      <c r="V167" s="198">
        <f t="shared" si="30"/>
        <v>0</v>
      </c>
      <c r="W167" s="198">
        <f t="shared" si="31"/>
        <v>0</v>
      </c>
      <c r="X167" s="198">
        <f t="shared" si="32"/>
        <v>0</v>
      </c>
      <c r="Y167" s="198">
        <f t="shared" si="33"/>
        <v>0</v>
      </c>
      <c r="Z167" s="198">
        <f t="shared" si="34"/>
        <v>0</v>
      </c>
      <c r="AB167" s="200"/>
    </row>
    <row r="168" spans="1:28" s="199" customFormat="1" ht="29.25" customHeight="1">
      <c r="A168" s="201"/>
      <c r="B168" s="202">
        <f t="shared" si="35"/>
        <v>0.24999999999999997</v>
      </c>
      <c r="C168" s="202">
        <f t="shared" si="36"/>
        <v>0.29166666666666663</v>
      </c>
      <c r="D168" s="203"/>
      <c r="E168" s="216"/>
      <c r="F168" s="215"/>
      <c r="G168" s="215"/>
      <c r="H168" s="214"/>
      <c r="I168" s="207"/>
      <c r="J168" s="207"/>
      <c r="K168" s="208">
        <f t="shared" si="26"/>
        <v>0</v>
      </c>
      <c r="L168" s="209"/>
      <c r="M168" s="210"/>
      <c r="N168" s="211"/>
      <c r="O168" s="212" t="str">
        <f t="shared" si="25"/>
        <v/>
      </c>
      <c r="P168" s="204"/>
      <c r="Q168" s="213"/>
      <c r="R168" s="3"/>
      <c r="S168" s="198">
        <f t="shared" si="27"/>
        <v>0</v>
      </c>
      <c r="T168" s="198">
        <f t="shared" si="28"/>
        <v>0</v>
      </c>
      <c r="U168" s="198">
        <f t="shared" si="29"/>
        <v>0</v>
      </c>
      <c r="V168" s="198">
        <f t="shared" si="30"/>
        <v>0</v>
      </c>
      <c r="W168" s="198">
        <f t="shared" si="31"/>
        <v>0</v>
      </c>
      <c r="X168" s="198">
        <f t="shared" si="32"/>
        <v>0</v>
      </c>
      <c r="Y168" s="198">
        <f t="shared" si="33"/>
        <v>0</v>
      </c>
      <c r="Z168" s="198">
        <f t="shared" si="34"/>
        <v>0</v>
      </c>
      <c r="AB168" s="200"/>
    </row>
    <row r="169" spans="1:28" s="199" customFormat="1" ht="29.25" customHeight="1">
      <c r="A169" s="201"/>
      <c r="B169" s="202">
        <f t="shared" si="35"/>
        <v>0.29166666666666663</v>
      </c>
      <c r="C169" s="202">
        <f t="shared" si="36"/>
        <v>0.33333333333333331</v>
      </c>
      <c r="D169" s="203"/>
      <c r="E169" s="216"/>
      <c r="F169" s="205"/>
      <c r="G169" s="206"/>
      <c r="H169" s="214"/>
      <c r="I169" s="207"/>
      <c r="J169" s="207"/>
      <c r="K169" s="208">
        <f t="shared" si="26"/>
        <v>0</v>
      </c>
      <c r="L169" s="209"/>
      <c r="M169" s="210"/>
      <c r="N169" s="211"/>
      <c r="O169" s="212" t="str">
        <f t="shared" si="25"/>
        <v/>
      </c>
      <c r="P169" s="204"/>
      <c r="Q169" s="213"/>
      <c r="R169" s="3"/>
      <c r="S169" s="198">
        <f t="shared" si="27"/>
        <v>0</v>
      </c>
      <c r="T169" s="198">
        <f t="shared" si="28"/>
        <v>0</v>
      </c>
      <c r="U169" s="198">
        <f t="shared" si="29"/>
        <v>0</v>
      </c>
      <c r="V169" s="198">
        <f t="shared" si="30"/>
        <v>0</v>
      </c>
      <c r="W169" s="198">
        <f t="shared" si="31"/>
        <v>0</v>
      </c>
      <c r="X169" s="198">
        <f t="shared" si="32"/>
        <v>0</v>
      </c>
      <c r="Y169" s="198">
        <f t="shared" si="33"/>
        <v>0</v>
      </c>
      <c r="Z169" s="198">
        <f t="shared" si="34"/>
        <v>0</v>
      </c>
      <c r="AB169" s="200"/>
    </row>
    <row r="170" spans="1:28" s="199" customFormat="1" ht="29.25" customHeight="1">
      <c r="A170" s="201"/>
      <c r="B170" s="202">
        <f t="shared" si="35"/>
        <v>0.33333333333333331</v>
      </c>
      <c r="C170" s="202">
        <f t="shared" si="36"/>
        <v>0.375</v>
      </c>
      <c r="D170" s="203"/>
      <c r="E170" s="216"/>
      <c r="F170" s="205"/>
      <c r="G170" s="206"/>
      <c r="H170" s="214"/>
      <c r="I170" s="207"/>
      <c r="J170" s="207"/>
      <c r="K170" s="208">
        <f t="shared" si="26"/>
        <v>0</v>
      </c>
      <c r="L170" s="209"/>
      <c r="M170" s="210"/>
      <c r="N170" s="211"/>
      <c r="O170" s="212" t="str">
        <f t="shared" si="25"/>
        <v/>
      </c>
      <c r="P170" s="204"/>
      <c r="Q170" s="213"/>
      <c r="R170" s="3"/>
      <c r="S170" s="198">
        <f t="shared" si="27"/>
        <v>0</v>
      </c>
      <c r="T170" s="198">
        <f t="shared" si="28"/>
        <v>0</v>
      </c>
      <c r="U170" s="198">
        <f t="shared" si="29"/>
        <v>0</v>
      </c>
      <c r="V170" s="198">
        <f t="shared" si="30"/>
        <v>0</v>
      </c>
      <c r="W170" s="198">
        <f t="shared" si="31"/>
        <v>0</v>
      </c>
      <c r="X170" s="198">
        <f t="shared" si="32"/>
        <v>0</v>
      </c>
      <c r="Y170" s="198">
        <f t="shared" si="33"/>
        <v>0</v>
      </c>
      <c r="Z170" s="198">
        <f t="shared" si="34"/>
        <v>0</v>
      </c>
      <c r="AB170" s="200"/>
    </row>
    <row r="171" spans="1:28" s="199" customFormat="1" ht="29.25" customHeight="1">
      <c r="A171" s="201"/>
      <c r="B171" s="202">
        <f t="shared" si="35"/>
        <v>0.375</v>
      </c>
      <c r="C171" s="202">
        <f t="shared" si="36"/>
        <v>0.41666666666666669</v>
      </c>
      <c r="D171" s="203"/>
      <c r="E171" s="216"/>
      <c r="F171" s="215"/>
      <c r="G171" s="215"/>
      <c r="H171" s="214"/>
      <c r="I171" s="207"/>
      <c r="J171" s="207"/>
      <c r="K171" s="208">
        <f t="shared" si="26"/>
        <v>0</v>
      </c>
      <c r="L171" s="209"/>
      <c r="M171" s="210"/>
      <c r="N171" s="211"/>
      <c r="O171" s="212" t="str">
        <f t="shared" si="25"/>
        <v/>
      </c>
      <c r="P171" s="204"/>
      <c r="Q171" s="213"/>
      <c r="R171" s="3"/>
      <c r="S171" s="198">
        <f t="shared" si="27"/>
        <v>0</v>
      </c>
      <c r="T171" s="198">
        <f t="shared" si="28"/>
        <v>0</v>
      </c>
      <c r="U171" s="198">
        <f t="shared" si="29"/>
        <v>0</v>
      </c>
      <c r="V171" s="198">
        <f t="shared" si="30"/>
        <v>0</v>
      </c>
      <c r="W171" s="198">
        <f t="shared" si="31"/>
        <v>0</v>
      </c>
      <c r="X171" s="198">
        <f t="shared" si="32"/>
        <v>0</v>
      </c>
      <c r="Y171" s="198">
        <f t="shared" si="33"/>
        <v>0</v>
      </c>
      <c r="Z171" s="198">
        <f t="shared" si="34"/>
        <v>0</v>
      </c>
      <c r="AB171" s="200"/>
    </row>
    <row r="172" spans="1:28" s="199" customFormat="1" ht="29.25" customHeight="1">
      <c r="A172" s="201"/>
      <c r="B172" s="202">
        <f t="shared" si="35"/>
        <v>0.41666666666666669</v>
      </c>
      <c r="C172" s="202">
        <f t="shared" si="36"/>
        <v>0.45833333333333337</v>
      </c>
      <c r="D172" s="217"/>
      <c r="E172" s="216"/>
      <c r="F172" s="215"/>
      <c r="G172" s="215"/>
      <c r="H172" s="214"/>
      <c r="I172" s="207"/>
      <c r="J172" s="207"/>
      <c r="K172" s="208">
        <f t="shared" si="26"/>
        <v>0</v>
      </c>
      <c r="L172" s="209"/>
      <c r="M172" s="210"/>
      <c r="N172" s="211"/>
      <c r="O172" s="212" t="str">
        <f t="shared" si="25"/>
        <v/>
      </c>
      <c r="P172" s="204"/>
      <c r="Q172" s="213"/>
      <c r="R172" s="3"/>
      <c r="S172" s="198">
        <f t="shared" si="27"/>
        <v>0</v>
      </c>
      <c r="T172" s="198">
        <f t="shared" si="28"/>
        <v>0</v>
      </c>
      <c r="U172" s="198">
        <f t="shared" si="29"/>
        <v>0</v>
      </c>
      <c r="V172" s="198">
        <f t="shared" si="30"/>
        <v>0</v>
      </c>
      <c r="W172" s="198">
        <f t="shared" si="31"/>
        <v>0</v>
      </c>
      <c r="X172" s="198">
        <f t="shared" si="32"/>
        <v>0</v>
      </c>
      <c r="Y172" s="198">
        <f t="shared" si="33"/>
        <v>0</v>
      </c>
      <c r="Z172" s="198">
        <f t="shared" si="34"/>
        <v>0</v>
      </c>
      <c r="AB172" s="200"/>
    </row>
    <row r="173" spans="1:28" s="199" customFormat="1" ht="29.25" customHeight="1" thickBot="1">
      <c r="A173" s="218"/>
      <c r="B173" s="219">
        <f t="shared" si="35"/>
        <v>0.45833333333333337</v>
      </c>
      <c r="C173" s="220">
        <f t="shared" si="36"/>
        <v>0.5</v>
      </c>
      <c r="D173" s="221"/>
      <c r="E173" s="221"/>
      <c r="F173" s="222"/>
      <c r="G173" s="222"/>
      <c r="H173" s="214"/>
      <c r="I173" s="223"/>
      <c r="J173" s="223"/>
      <c r="K173" s="224">
        <f t="shared" si="26"/>
        <v>0</v>
      </c>
      <c r="L173" s="225"/>
      <c r="M173" s="226"/>
      <c r="N173" s="227"/>
      <c r="O173" s="286" t="str">
        <f t="shared" si="25"/>
        <v/>
      </c>
      <c r="P173" s="228"/>
      <c r="Q173" s="229"/>
      <c r="R173" s="3"/>
      <c r="S173" s="198">
        <f t="shared" si="27"/>
        <v>0</v>
      </c>
      <c r="T173" s="198">
        <f t="shared" si="28"/>
        <v>0</v>
      </c>
      <c r="U173" s="198">
        <f t="shared" si="29"/>
        <v>0</v>
      </c>
      <c r="V173" s="198">
        <f t="shared" si="30"/>
        <v>0</v>
      </c>
      <c r="W173" s="198">
        <f t="shared" si="31"/>
        <v>0</v>
      </c>
      <c r="X173" s="198">
        <f t="shared" si="32"/>
        <v>0</v>
      </c>
      <c r="Y173" s="198">
        <f t="shared" si="33"/>
        <v>0</v>
      </c>
      <c r="Z173" s="198">
        <f t="shared" si="34"/>
        <v>0</v>
      </c>
      <c r="AB173" s="200"/>
    </row>
    <row r="174" spans="1:28" s="199" customFormat="1" ht="29.25" customHeight="1">
      <c r="A174" s="184">
        <f>A153</f>
        <v>0</v>
      </c>
      <c r="B174" s="185">
        <f>B138</f>
        <v>0</v>
      </c>
      <c r="C174" s="185">
        <f>B174+1/24</f>
        <v>4.1666666666666664E-2</v>
      </c>
      <c r="D174" s="186"/>
      <c r="E174" s="187"/>
      <c r="F174" s="188"/>
      <c r="G174" s="189"/>
      <c r="H174" s="190"/>
      <c r="I174" s="191"/>
      <c r="J174" s="191"/>
      <c r="K174" s="192">
        <f t="shared" si="26"/>
        <v>0</v>
      </c>
      <c r="L174" s="193"/>
      <c r="M174" s="194"/>
      <c r="N174" s="195"/>
      <c r="O174" s="196" t="str">
        <f t="shared" si="25"/>
        <v/>
      </c>
      <c r="P174" s="187"/>
      <c r="Q174" s="197"/>
      <c r="R174" s="3"/>
      <c r="S174" s="198">
        <f t="shared" si="27"/>
        <v>0</v>
      </c>
      <c r="T174" s="198">
        <f t="shared" si="28"/>
        <v>0</v>
      </c>
      <c r="U174" s="198">
        <f t="shared" si="29"/>
        <v>0</v>
      </c>
      <c r="V174" s="198">
        <f t="shared" si="30"/>
        <v>0</v>
      </c>
      <c r="W174" s="198">
        <f t="shared" si="31"/>
        <v>0</v>
      </c>
      <c r="X174" s="198">
        <f t="shared" si="32"/>
        <v>0</v>
      </c>
      <c r="Y174" s="198">
        <f t="shared" si="33"/>
        <v>0</v>
      </c>
      <c r="Z174" s="198">
        <f t="shared" si="34"/>
        <v>0</v>
      </c>
      <c r="AB174" s="200"/>
    </row>
    <row r="175" spans="1:28" s="199" customFormat="1" ht="29.25" customHeight="1">
      <c r="A175" s="201"/>
      <c r="B175" s="202">
        <f>C174</f>
        <v>4.1666666666666664E-2</v>
      </c>
      <c r="C175" s="202">
        <f>B175+1/24</f>
        <v>8.3333333333333329E-2</v>
      </c>
      <c r="D175" s="203"/>
      <c r="E175" s="204"/>
      <c r="F175" s="205"/>
      <c r="G175" s="206"/>
      <c r="H175" s="214"/>
      <c r="I175" s="207"/>
      <c r="J175" s="207"/>
      <c r="K175" s="208">
        <f t="shared" si="26"/>
        <v>0</v>
      </c>
      <c r="L175" s="209"/>
      <c r="M175" s="210"/>
      <c r="N175" s="211"/>
      <c r="O175" s="212" t="str">
        <f t="shared" si="25"/>
        <v/>
      </c>
      <c r="P175" s="204"/>
      <c r="Q175" s="213"/>
      <c r="R175" s="3"/>
      <c r="S175" s="198">
        <f t="shared" si="27"/>
        <v>0</v>
      </c>
      <c r="T175" s="198">
        <f t="shared" si="28"/>
        <v>0</v>
      </c>
      <c r="U175" s="198">
        <f t="shared" si="29"/>
        <v>0</v>
      </c>
      <c r="V175" s="198">
        <f t="shared" si="30"/>
        <v>0</v>
      </c>
      <c r="W175" s="198">
        <f t="shared" si="31"/>
        <v>0</v>
      </c>
      <c r="X175" s="198">
        <f t="shared" si="32"/>
        <v>0</v>
      </c>
      <c r="Y175" s="198">
        <f t="shared" si="33"/>
        <v>0</v>
      </c>
      <c r="Z175" s="198">
        <f t="shared" si="34"/>
        <v>0</v>
      </c>
      <c r="AB175" s="200"/>
    </row>
    <row r="176" spans="1:28" s="199" customFormat="1" ht="29.25" customHeight="1">
      <c r="A176" s="201"/>
      <c r="B176" s="202">
        <f t="shared" ref="B176:B184" si="37">C175</f>
        <v>8.3333333333333329E-2</v>
      </c>
      <c r="C176" s="202">
        <f t="shared" ref="C176:C184" si="38">B176+1/24</f>
        <v>0.125</v>
      </c>
      <c r="D176" s="203"/>
      <c r="E176" s="204"/>
      <c r="F176" s="215"/>
      <c r="G176" s="215"/>
      <c r="H176" s="214"/>
      <c r="I176" s="207"/>
      <c r="J176" s="207"/>
      <c r="K176" s="208">
        <f t="shared" si="26"/>
        <v>0</v>
      </c>
      <c r="L176" s="209"/>
      <c r="M176" s="210"/>
      <c r="N176" s="211"/>
      <c r="O176" s="212" t="str">
        <f t="shared" si="25"/>
        <v/>
      </c>
      <c r="P176" s="204"/>
      <c r="Q176" s="213"/>
      <c r="R176" s="3"/>
      <c r="S176" s="198">
        <f t="shared" si="27"/>
        <v>0</v>
      </c>
      <c r="T176" s="198">
        <f t="shared" si="28"/>
        <v>0</v>
      </c>
      <c r="U176" s="198">
        <f t="shared" si="29"/>
        <v>0</v>
      </c>
      <c r="V176" s="198">
        <f t="shared" si="30"/>
        <v>0</v>
      </c>
      <c r="W176" s="198">
        <f t="shared" si="31"/>
        <v>0</v>
      </c>
      <c r="X176" s="198">
        <f t="shared" si="32"/>
        <v>0</v>
      </c>
      <c r="Y176" s="198">
        <f t="shared" si="33"/>
        <v>0</v>
      </c>
      <c r="Z176" s="198">
        <f t="shared" si="34"/>
        <v>0</v>
      </c>
      <c r="AB176" s="200"/>
    </row>
    <row r="177" spans="1:28" s="199" customFormat="1" ht="29.25" customHeight="1">
      <c r="A177" s="201"/>
      <c r="B177" s="202">
        <f t="shared" si="37"/>
        <v>0.125</v>
      </c>
      <c r="C177" s="202">
        <f t="shared" si="38"/>
        <v>0.16666666666666666</v>
      </c>
      <c r="D177" s="203"/>
      <c r="E177" s="204"/>
      <c r="F177" s="215"/>
      <c r="G177" s="215"/>
      <c r="H177" s="214"/>
      <c r="I177" s="207"/>
      <c r="J177" s="207"/>
      <c r="K177" s="208">
        <f t="shared" si="26"/>
        <v>0</v>
      </c>
      <c r="L177" s="209"/>
      <c r="M177" s="210"/>
      <c r="N177" s="211"/>
      <c r="O177" s="212" t="str">
        <f t="shared" si="25"/>
        <v/>
      </c>
      <c r="P177" s="204"/>
      <c r="Q177" s="213"/>
      <c r="R177" s="3"/>
      <c r="S177" s="198">
        <f t="shared" si="27"/>
        <v>0</v>
      </c>
      <c r="T177" s="198">
        <f t="shared" si="28"/>
        <v>0</v>
      </c>
      <c r="U177" s="198">
        <f t="shared" si="29"/>
        <v>0</v>
      </c>
      <c r="V177" s="198">
        <f t="shared" si="30"/>
        <v>0</v>
      </c>
      <c r="W177" s="198">
        <f t="shared" si="31"/>
        <v>0</v>
      </c>
      <c r="X177" s="198">
        <f t="shared" si="32"/>
        <v>0</v>
      </c>
      <c r="Y177" s="198">
        <f t="shared" si="33"/>
        <v>0</v>
      </c>
      <c r="Z177" s="198">
        <f t="shared" si="34"/>
        <v>0</v>
      </c>
      <c r="AB177" s="200"/>
    </row>
    <row r="178" spans="1:28" s="199" customFormat="1" ht="29.25" customHeight="1">
      <c r="A178" s="201"/>
      <c r="B178" s="202">
        <f t="shared" si="37"/>
        <v>0.16666666666666666</v>
      </c>
      <c r="C178" s="202">
        <f t="shared" si="38"/>
        <v>0.20833333333333331</v>
      </c>
      <c r="D178" s="203"/>
      <c r="E178" s="204"/>
      <c r="F178" s="215"/>
      <c r="G178" s="215"/>
      <c r="H178" s="214"/>
      <c r="I178" s="207"/>
      <c r="J178" s="207"/>
      <c r="K178" s="208">
        <f t="shared" si="26"/>
        <v>0</v>
      </c>
      <c r="L178" s="209"/>
      <c r="M178" s="210"/>
      <c r="N178" s="211"/>
      <c r="O178" s="212" t="str">
        <f t="shared" si="25"/>
        <v/>
      </c>
      <c r="P178" s="204"/>
      <c r="Q178" s="213"/>
      <c r="R178" s="3"/>
      <c r="S178" s="198">
        <f t="shared" si="27"/>
        <v>0</v>
      </c>
      <c r="T178" s="198">
        <f t="shared" si="28"/>
        <v>0</v>
      </c>
      <c r="U178" s="198">
        <f t="shared" si="29"/>
        <v>0</v>
      </c>
      <c r="V178" s="198">
        <f t="shared" si="30"/>
        <v>0</v>
      </c>
      <c r="W178" s="198">
        <f t="shared" si="31"/>
        <v>0</v>
      </c>
      <c r="X178" s="198">
        <f t="shared" si="32"/>
        <v>0</v>
      </c>
      <c r="Y178" s="198">
        <f t="shared" si="33"/>
        <v>0</v>
      </c>
      <c r="Z178" s="198">
        <f t="shared" si="34"/>
        <v>0</v>
      </c>
      <c r="AB178" s="200"/>
    </row>
    <row r="179" spans="1:28" s="199" customFormat="1" ht="29.25" customHeight="1">
      <c r="A179" s="201"/>
      <c r="B179" s="202">
        <f t="shared" si="37"/>
        <v>0.20833333333333331</v>
      </c>
      <c r="C179" s="202">
        <f t="shared" si="38"/>
        <v>0.24999999999999997</v>
      </c>
      <c r="D179" s="203"/>
      <c r="E179" s="204"/>
      <c r="F179" s="215"/>
      <c r="G179" s="215"/>
      <c r="H179" s="214"/>
      <c r="I179" s="207"/>
      <c r="J179" s="207"/>
      <c r="K179" s="208">
        <f t="shared" si="26"/>
        <v>0</v>
      </c>
      <c r="L179" s="209"/>
      <c r="M179" s="210"/>
      <c r="N179" s="211"/>
      <c r="O179" s="212" t="str">
        <f t="shared" si="25"/>
        <v/>
      </c>
      <c r="P179" s="204"/>
      <c r="Q179" s="213"/>
      <c r="R179" s="3"/>
      <c r="S179" s="198">
        <f t="shared" si="27"/>
        <v>0</v>
      </c>
      <c r="T179" s="198">
        <f t="shared" si="28"/>
        <v>0</v>
      </c>
      <c r="U179" s="198">
        <f t="shared" si="29"/>
        <v>0</v>
      </c>
      <c r="V179" s="198">
        <f t="shared" si="30"/>
        <v>0</v>
      </c>
      <c r="W179" s="198">
        <f t="shared" si="31"/>
        <v>0</v>
      </c>
      <c r="X179" s="198">
        <f t="shared" si="32"/>
        <v>0</v>
      </c>
      <c r="Y179" s="198">
        <f t="shared" si="33"/>
        <v>0</v>
      </c>
      <c r="Z179" s="198">
        <f t="shared" si="34"/>
        <v>0</v>
      </c>
      <c r="AB179" s="200"/>
    </row>
    <row r="180" spans="1:28" s="199" customFormat="1" ht="29.25" customHeight="1">
      <c r="A180" s="201"/>
      <c r="B180" s="202">
        <f t="shared" si="37"/>
        <v>0.24999999999999997</v>
      </c>
      <c r="C180" s="202">
        <f t="shared" si="38"/>
        <v>0.29166666666666663</v>
      </c>
      <c r="D180" s="203"/>
      <c r="E180" s="216"/>
      <c r="F180" s="215"/>
      <c r="G180" s="215"/>
      <c r="H180" s="214"/>
      <c r="I180" s="207"/>
      <c r="J180" s="207"/>
      <c r="K180" s="208">
        <f t="shared" si="26"/>
        <v>0</v>
      </c>
      <c r="L180" s="209"/>
      <c r="M180" s="210"/>
      <c r="N180" s="211"/>
      <c r="O180" s="212" t="str">
        <f t="shared" si="25"/>
        <v/>
      </c>
      <c r="P180" s="204"/>
      <c r="Q180" s="213"/>
      <c r="R180" s="3"/>
      <c r="S180" s="198">
        <f t="shared" si="27"/>
        <v>0</v>
      </c>
      <c r="T180" s="198">
        <f t="shared" si="28"/>
        <v>0</v>
      </c>
      <c r="U180" s="198">
        <f t="shared" si="29"/>
        <v>0</v>
      </c>
      <c r="V180" s="198">
        <f t="shared" si="30"/>
        <v>0</v>
      </c>
      <c r="W180" s="198">
        <f t="shared" si="31"/>
        <v>0</v>
      </c>
      <c r="X180" s="198">
        <f t="shared" si="32"/>
        <v>0</v>
      </c>
      <c r="Y180" s="198">
        <f t="shared" si="33"/>
        <v>0</v>
      </c>
      <c r="Z180" s="198">
        <f t="shared" si="34"/>
        <v>0</v>
      </c>
      <c r="AB180" s="200"/>
    </row>
    <row r="181" spans="1:28" s="199" customFormat="1" ht="29.25" customHeight="1">
      <c r="A181" s="201"/>
      <c r="B181" s="202">
        <f t="shared" si="37"/>
        <v>0.29166666666666663</v>
      </c>
      <c r="C181" s="202">
        <f t="shared" si="38"/>
        <v>0.33333333333333331</v>
      </c>
      <c r="D181" s="203"/>
      <c r="E181" s="216"/>
      <c r="F181" s="205"/>
      <c r="G181" s="206"/>
      <c r="H181" s="214"/>
      <c r="I181" s="207"/>
      <c r="J181" s="207"/>
      <c r="K181" s="208">
        <f t="shared" si="26"/>
        <v>0</v>
      </c>
      <c r="L181" s="209"/>
      <c r="M181" s="210"/>
      <c r="N181" s="211"/>
      <c r="O181" s="212" t="str">
        <f t="shared" si="25"/>
        <v/>
      </c>
      <c r="P181" s="204"/>
      <c r="Q181" s="213"/>
      <c r="R181" s="3"/>
      <c r="S181" s="198">
        <f t="shared" si="27"/>
        <v>0</v>
      </c>
      <c r="T181" s="198">
        <f t="shared" si="28"/>
        <v>0</v>
      </c>
      <c r="U181" s="198">
        <f t="shared" si="29"/>
        <v>0</v>
      </c>
      <c r="V181" s="198">
        <f t="shared" si="30"/>
        <v>0</v>
      </c>
      <c r="W181" s="198">
        <f t="shared" si="31"/>
        <v>0</v>
      </c>
      <c r="X181" s="198">
        <f t="shared" si="32"/>
        <v>0</v>
      </c>
      <c r="Y181" s="198">
        <f t="shared" si="33"/>
        <v>0</v>
      </c>
      <c r="Z181" s="198">
        <f t="shared" si="34"/>
        <v>0</v>
      </c>
      <c r="AB181" s="200"/>
    </row>
    <row r="182" spans="1:28" s="199" customFormat="1" ht="29.25" customHeight="1">
      <c r="A182" s="201"/>
      <c r="B182" s="202">
        <f t="shared" si="37"/>
        <v>0.33333333333333331</v>
      </c>
      <c r="C182" s="202">
        <f t="shared" si="38"/>
        <v>0.375</v>
      </c>
      <c r="D182" s="203"/>
      <c r="E182" s="216"/>
      <c r="F182" s="205"/>
      <c r="G182" s="206"/>
      <c r="H182" s="214"/>
      <c r="I182" s="207"/>
      <c r="J182" s="207"/>
      <c r="K182" s="208">
        <f t="shared" si="26"/>
        <v>0</v>
      </c>
      <c r="L182" s="209"/>
      <c r="M182" s="210"/>
      <c r="N182" s="211"/>
      <c r="O182" s="212" t="str">
        <f t="shared" si="25"/>
        <v/>
      </c>
      <c r="P182" s="204"/>
      <c r="Q182" s="213"/>
      <c r="R182" s="3"/>
      <c r="S182" s="198">
        <f t="shared" si="27"/>
        <v>0</v>
      </c>
      <c r="T182" s="198">
        <f t="shared" si="28"/>
        <v>0</v>
      </c>
      <c r="U182" s="198">
        <f t="shared" si="29"/>
        <v>0</v>
      </c>
      <c r="V182" s="198">
        <f t="shared" si="30"/>
        <v>0</v>
      </c>
      <c r="W182" s="198">
        <f t="shared" si="31"/>
        <v>0</v>
      </c>
      <c r="X182" s="198">
        <f t="shared" si="32"/>
        <v>0</v>
      </c>
      <c r="Y182" s="198">
        <f t="shared" si="33"/>
        <v>0</v>
      </c>
      <c r="Z182" s="198">
        <f t="shared" si="34"/>
        <v>0</v>
      </c>
      <c r="AB182" s="200"/>
    </row>
    <row r="183" spans="1:28" s="199" customFormat="1" ht="29.25" customHeight="1">
      <c r="A183" s="201"/>
      <c r="B183" s="202">
        <f t="shared" si="37"/>
        <v>0.375</v>
      </c>
      <c r="C183" s="202">
        <f t="shared" si="38"/>
        <v>0.41666666666666669</v>
      </c>
      <c r="D183" s="203"/>
      <c r="E183" s="216"/>
      <c r="F183" s="215"/>
      <c r="G183" s="215"/>
      <c r="H183" s="214"/>
      <c r="I183" s="207"/>
      <c r="J183" s="207"/>
      <c r="K183" s="208">
        <f t="shared" si="26"/>
        <v>0</v>
      </c>
      <c r="L183" s="209"/>
      <c r="M183" s="210"/>
      <c r="N183" s="211"/>
      <c r="O183" s="212" t="str">
        <f t="shared" si="25"/>
        <v/>
      </c>
      <c r="P183" s="204"/>
      <c r="Q183" s="213"/>
      <c r="R183" s="3"/>
      <c r="S183" s="198">
        <f t="shared" si="27"/>
        <v>0</v>
      </c>
      <c r="T183" s="198">
        <f t="shared" si="28"/>
        <v>0</v>
      </c>
      <c r="U183" s="198">
        <f t="shared" si="29"/>
        <v>0</v>
      </c>
      <c r="V183" s="198">
        <f t="shared" si="30"/>
        <v>0</v>
      </c>
      <c r="W183" s="198">
        <f t="shared" si="31"/>
        <v>0</v>
      </c>
      <c r="X183" s="198">
        <f t="shared" si="32"/>
        <v>0</v>
      </c>
      <c r="Y183" s="198">
        <f t="shared" si="33"/>
        <v>0</v>
      </c>
      <c r="Z183" s="198">
        <f t="shared" si="34"/>
        <v>0</v>
      </c>
      <c r="AB183" s="200"/>
    </row>
    <row r="184" spans="1:28" s="199" customFormat="1" ht="29.25" customHeight="1" thickBot="1">
      <c r="A184" s="218"/>
      <c r="B184" s="219">
        <f t="shared" si="37"/>
        <v>0.41666666666666669</v>
      </c>
      <c r="C184" s="219">
        <f t="shared" si="38"/>
        <v>0.45833333333333337</v>
      </c>
      <c r="D184" s="230"/>
      <c r="E184" s="221"/>
      <c r="F184" s="222"/>
      <c r="G184" s="222"/>
      <c r="H184" s="231"/>
      <c r="I184" s="223"/>
      <c r="J184" s="223"/>
      <c r="K184" s="224">
        <f t="shared" si="26"/>
        <v>0</v>
      </c>
      <c r="L184" s="225"/>
      <c r="M184" s="226"/>
      <c r="N184" s="227"/>
      <c r="O184" s="286" t="str">
        <f t="shared" si="25"/>
        <v/>
      </c>
      <c r="P184" s="228"/>
      <c r="Q184" s="229"/>
      <c r="R184" s="3"/>
      <c r="S184" s="198">
        <f t="shared" si="27"/>
        <v>0</v>
      </c>
      <c r="T184" s="198">
        <f t="shared" si="28"/>
        <v>0</v>
      </c>
      <c r="U184" s="198">
        <f t="shared" si="29"/>
        <v>0</v>
      </c>
      <c r="V184" s="198">
        <f t="shared" si="30"/>
        <v>0</v>
      </c>
      <c r="W184" s="198">
        <f t="shared" si="31"/>
        <v>0</v>
      </c>
      <c r="X184" s="198">
        <f t="shared" si="32"/>
        <v>0</v>
      </c>
      <c r="Y184" s="198">
        <f t="shared" si="33"/>
        <v>0</v>
      </c>
      <c r="Z184" s="198">
        <f t="shared" si="34"/>
        <v>0</v>
      </c>
      <c r="AB184" s="200"/>
    </row>
    <row r="185" spans="1:28" s="199" customFormat="1" ht="29.25" customHeight="1">
      <c r="A185" s="184">
        <f>A154</f>
        <v>0</v>
      </c>
      <c r="B185" s="185">
        <f>B140</f>
        <v>0</v>
      </c>
      <c r="C185" s="185">
        <f>B185+1/24</f>
        <v>4.1666666666666664E-2</v>
      </c>
      <c r="D185" s="186"/>
      <c r="E185" s="187"/>
      <c r="F185" s="188"/>
      <c r="G185" s="189"/>
      <c r="H185" s="190"/>
      <c r="I185" s="191"/>
      <c r="J185" s="191"/>
      <c r="K185" s="192">
        <f t="shared" si="26"/>
        <v>0</v>
      </c>
      <c r="L185" s="193"/>
      <c r="M185" s="194"/>
      <c r="N185" s="195"/>
      <c r="O185" s="196" t="str">
        <f t="shared" si="25"/>
        <v/>
      </c>
      <c r="P185" s="187"/>
      <c r="Q185" s="197"/>
      <c r="R185" s="3"/>
      <c r="S185" s="198">
        <f t="shared" si="27"/>
        <v>0</v>
      </c>
      <c r="T185" s="198">
        <f t="shared" si="28"/>
        <v>0</v>
      </c>
      <c r="U185" s="198">
        <f t="shared" si="29"/>
        <v>0</v>
      </c>
      <c r="V185" s="198">
        <f t="shared" si="30"/>
        <v>0</v>
      </c>
      <c r="W185" s="198">
        <f t="shared" si="31"/>
        <v>0</v>
      </c>
      <c r="X185" s="198">
        <f t="shared" si="32"/>
        <v>0</v>
      </c>
      <c r="Y185" s="198">
        <f t="shared" si="33"/>
        <v>0</v>
      </c>
      <c r="Z185" s="198">
        <f t="shared" si="34"/>
        <v>0</v>
      </c>
      <c r="AB185" s="200"/>
    </row>
    <row r="186" spans="1:28" s="199" customFormat="1" ht="29.25" customHeight="1">
      <c r="A186" s="201"/>
      <c r="B186" s="202">
        <f>C185</f>
        <v>4.1666666666666664E-2</v>
      </c>
      <c r="C186" s="202">
        <f>B186+1/24</f>
        <v>8.3333333333333329E-2</v>
      </c>
      <c r="D186" s="203"/>
      <c r="E186" s="204"/>
      <c r="F186" s="205"/>
      <c r="G186" s="206"/>
      <c r="H186" s="214"/>
      <c r="I186" s="207"/>
      <c r="J186" s="207"/>
      <c r="K186" s="208">
        <f t="shared" si="26"/>
        <v>0</v>
      </c>
      <c r="L186" s="209"/>
      <c r="M186" s="210"/>
      <c r="N186" s="211"/>
      <c r="O186" s="212" t="str">
        <f t="shared" si="25"/>
        <v/>
      </c>
      <c r="P186" s="204"/>
      <c r="Q186" s="213"/>
      <c r="R186" s="3"/>
      <c r="S186" s="198">
        <f t="shared" si="27"/>
        <v>0</v>
      </c>
      <c r="T186" s="198">
        <f t="shared" si="28"/>
        <v>0</v>
      </c>
      <c r="U186" s="198">
        <f t="shared" si="29"/>
        <v>0</v>
      </c>
      <c r="V186" s="198">
        <f t="shared" si="30"/>
        <v>0</v>
      </c>
      <c r="W186" s="198">
        <f t="shared" si="31"/>
        <v>0</v>
      </c>
      <c r="X186" s="198">
        <f t="shared" si="32"/>
        <v>0</v>
      </c>
      <c r="Y186" s="198">
        <f t="shared" si="33"/>
        <v>0</v>
      </c>
      <c r="Z186" s="198">
        <f t="shared" si="34"/>
        <v>0</v>
      </c>
      <c r="AB186" s="200"/>
    </row>
    <row r="187" spans="1:28" s="199" customFormat="1" ht="29.25" customHeight="1">
      <c r="A187" s="201"/>
      <c r="B187" s="202">
        <f t="shared" ref="B187:B195" si="39">C186</f>
        <v>8.3333333333333329E-2</v>
      </c>
      <c r="C187" s="202">
        <f t="shared" ref="C187:C195" si="40">B187+1/24</f>
        <v>0.125</v>
      </c>
      <c r="D187" s="203"/>
      <c r="E187" s="204"/>
      <c r="F187" s="215"/>
      <c r="G187" s="215"/>
      <c r="H187" s="214"/>
      <c r="I187" s="207"/>
      <c r="J187" s="207"/>
      <c r="K187" s="208">
        <f t="shared" si="26"/>
        <v>0</v>
      </c>
      <c r="L187" s="209"/>
      <c r="M187" s="210"/>
      <c r="N187" s="211"/>
      <c r="O187" s="212" t="str">
        <f t="shared" si="25"/>
        <v/>
      </c>
      <c r="P187" s="204"/>
      <c r="Q187" s="213"/>
      <c r="R187" s="3"/>
      <c r="S187" s="198">
        <f t="shared" si="27"/>
        <v>0</v>
      </c>
      <c r="T187" s="198">
        <f t="shared" si="28"/>
        <v>0</v>
      </c>
      <c r="U187" s="198">
        <f t="shared" si="29"/>
        <v>0</v>
      </c>
      <c r="V187" s="198">
        <f t="shared" si="30"/>
        <v>0</v>
      </c>
      <c r="W187" s="198">
        <f t="shared" si="31"/>
        <v>0</v>
      </c>
      <c r="X187" s="198">
        <f t="shared" si="32"/>
        <v>0</v>
      </c>
      <c r="Y187" s="198">
        <f t="shared" si="33"/>
        <v>0</v>
      </c>
      <c r="Z187" s="198">
        <f t="shared" si="34"/>
        <v>0</v>
      </c>
      <c r="AB187" s="200"/>
    </row>
    <row r="188" spans="1:28" s="199" customFormat="1" ht="29.25" customHeight="1">
      <c r="A188" s="201"/>
      <c r="B188" s="202">
        <f t="shared" si="39"/>
        <v>0.125</v>
      </c>
      <c r="C188" s="202">
        <f t="shared" si="40"/>
        <v>0.16666666666666666</v>
      </c>
      <c r="D188" s="203"/>
      <c r="E188" s="204"/>
      <c r="F188" s="215"/>
      <c r="G188" s="215"/>
      <c r="H188" s="214"/>
      <c r="I188" s="207"/>
      <c r="J188" s="207"/>
      <c r="K188" s="208">
        <f t="shared" si="26"/>
        <v>0</v>
      </c>
      <c r="L188" s="209"/>
      <c r="M188" s="210"/>
      <c r="N188" s="211"/>
      <c r="O188" s="212" t="str">
        <f t="shared" si="25"/>
        <v/>
      </c>
      <c r="P188" s="204"/>
      <c r="Q188" s="213"/>
      <c r="R188" s="3"/>
      <c r="S188" s="198">
        <f t="shared" si="27"/>
        <v>0</v>
      </c>
      <c r="T188" s="198">
        <f t="shared" si="28"/>
        <v>0</v>
      </c>
      <c r="U188" s="198">
        <f t="shared" si="29"/>
        <v>0</v>
      </c>
      <c r="V188" s="198">
        <f t="shared" si="30"/>
        <v>0</v>
      </c>
      <c r="W188" s="198">
        <f t="shared" si="31"/>
        <v>0</v>
      </c>
      <c r="X188" s="198">
        <f t="shared" si="32"/>
        <v>0</v>
      </c>
      <c r="Y188" s="198">
        <f t="shared" si="33"/>
        <v>0</v>
      </c>
      <c r="Z188" s="198">
        <f t="shared" si="34"/>
        <v>0</v>
      </c>
      <c r="AB188" s="200"/>
    </row>
    <row r="189" spans="1:28" s="199" customFormat="1" ht="29.25" customHeight="1">
      <c r="A189" s="201"/>
      <c r="B189" s="202">
        <f t="shared" si="39"/>
        <v>0.16666666666666666</v>
      </c>
      <c r="C189" s="202">
        <f t="shared" si="40"/>
        <v>0.20833333333333331</v>
      </c>
      <c r="D189" s="203"/>
      <c r="E189" s="204"/>
      <c r="F189" s="215"/>
      <c r="G189" s="215"/>
      <c r="H189" s="214"/>
      <c r="I189" s="207"/>
      <c r="J189" s="207"/>
      <c r="K189" s="208">
        <f t="shared" si="26"/>
        <v>0</v>
      </c>
      <c r="L189" s="209"/>
      <c r="M189" s="210"/>
      <c r="N189" s="211"/>
      <c r="O189" s="212" t="str">
        <f t="shared" si="25"/>
        <v/>
      </c>
      <c r="P189" s="204"/>
      <c r="Q189" s="213"/>
      <c r="R189" s="3"/>
      <c r="S189" s="198">
        <f t="shared" si="27"/>
        <v>0</v>
      </c>
      <c r="T189" s="198">
        <f t="shared" si="28"/>
        <v>0</v>
      </c>
      <c r="U189" s="198">
        <f t="shared" si="29"/>
        <v>0</v>
      </c>
      <c r="V189" s="198">
        <f t="shared" si="30"/>
        <v>0</v>
      </c>
      <c r="W189" s="198">
        <f t="shared" si="31"/>
        <v>0</v>
      </c>
      <c r="X189" s="198">
        <f t="shared" si="32"/>
        <v>0</v>
      </c>
      <c r="Y189" s="198">
        <f t="shared" si="33"/>
        <v>0</v>
      </c>
      <c r="Z189" s="198">
        <f t="shared" si="34"/>
        <v>0</v>
      </c>
      <c r="AB189" s="200"/>
    </row>
    <row r="190" spans="1:28" s="199" customFormat="1" ht="29.25" customHeight="1">
      <c r="A190" s="201"/>
      <c r="B190" s="202">
        <f t="shared" si="39"/>
        <v>0.20833333333333331</v>
      </c>
      <c r="C190" s="202">
        <f t="shared" si="40"/>
        <v>0.24999999999999997</v>
      </c>
      <c r="D190" s="203"/>
      <c r="E190" s="204"/>
      <c r="F190" s="215"/>
      <c r="G190" s="215"/>
      <c r="H190" s="214"/>
      <c r="I190" s="207"/>
      <c r="J190" s="207"/>
      <c r="K190" s="208">
        <f t="shared" si="26"/>
        <v>0</v>
      </c>
      <c r="L190" s="209"/>
      <c r="M190" s="210"/>
      <c r="N190" s="211"/>
      <c r="O190" s="212" t="str">
        <f t="shared" si="25"/>
        <v/>
      </c>
      <c r="P190" s="204"/>
      <c r="Q190" s="213"/>
      <c r="R190" s="3"/>
      <c r="S190" s="198">
        <f t="shared" si="27"/>
        <v>0</v>
      </c>
      <c r="T190" s="198">
        <f t="shared" si="28"/>
        <v>0</v>
      </c>
      <c r="U190" s="198">
        <f t="shared" si="29"/>
        <v>0</v>
      </c>
      <c r="V190" s="198">
        <f t="shared" si="30"/>
        <v>0</v>
      </c>
      <c r="W190" s="198">
        <f t="shared" si="31"/>
        <v>0</v>
      </c>
      <c r="X190" s="198">
        <f t="shared" si="32"/>
        <v>0</v>
      </c>
      <c r="Y190" s="198">
        <f t="shared" si="33"/>
        <v>0</v>
      </c>
      <c r="Z190" s="198">
        <f t="shared" si="34"/>
        <v>0</v>
      </c>
      <c r="AB190" s="200"/>
    </row>
    <row r="191" spans="1:28" s="199" customFormat="1" ht="29.25" customHeight="1">
      <c r="A191" s="201"/>
      <c r="B191" s="202">
        <f t="shared" si="39"/>
        <v>0.24999999999999997</v>
      </c>
      <c r="C191" s="202">
        <f t="shared" si="40"/>
        <v>0.29166666666666663</v>
      </c>
      <c r="D191" s="203"/>
      <c r="E191" s="216"/>
      <c r="F191" s="215"/>
      <c r="G191" s="215"/>
      <c r="H191" s="214"/>
      <c r="I191" s="207"/>
      <c r="J191" s="207"/>
      <c r="K191" s="208">
        <f t="shared" si="26"/>
        <v>0</v>
      </c>
      <c r="L191" s="209"/>
      <c r="M191" s="210"/>
      <c r="N191" s="211"/>
      <c r="O191" s="212" t="str">
        <f t="shared" si="25"/>
        <v/>
      </c>
      <c r="P191" s="204"/>
      <c r="Q191" s="213"/>
      <c r="R191" s="3"/>
      <c r="S191" s="198">
        <f t="shared" si="27"/>
        <v>0</v>
      </c>
      <c r="T191" s="198">
        <f t="shared" si="28"/>
        <v>0</v>
      </c>
      <c r="U191" s="198">
        <f t="shared" si="29"/>
        <v>0</v>
      </c>
      <c r="V191" s="198">
        <f t="shared" si="30"/>
        <v>0</v>
      </c>
      <c r="W191" s="198">
        <f t="shared" si="31"/>
        <v>0</v>
      </c>
      <c r="X191" s="198">
        <f t="shared" si="32"/>
        <v>0</v>
      </c>
      <c r="Y191" s="198">
        <f t="shared" si="33"/>
        <v>0</v>
      </c>
      <c r="Z191" s="198">
        <f t="shared" si="34"/>
        <v>0</v>
      </c>
      <c r="AB191" s="200"/>
    </row>
    <row r="192" spans="1:28" s="199" customFormat="1" ht="29.25" customHeight="1">
      <c r="A192" s="201"/>
      <c r="B192" s="202">
        <f t="shared" si="39"/>
        <v>0.29166666666666663</v>
      </c>
      <c r="C192" s="202">
        <f t="shared" si="40"/>
        <v>0.33333333333333331</v>
      </c>
      <c r="D192" s="203"/>
      <c r="E192" s="216"/>
      <c r="F192" s="205"/>
      <c r="G192" s="206"/>
      <c r="H192" s="214"/>
      <c r="I192" s="207"/>
      <c r="J192" s="207"/>
      <c r="K192" s="208">
        <f t="shared" si="26"/>
        <v>0</v>
      </c>
      <c r="L192" s="209"/>
      <c r="M192" s="210"/>
      <c r="N192" s="211"/>
      <c r="O192" s="212" t="str">
        <f t="shared" si="25"/>
        <v/>
      </c>
      <c r="P192" s="204"/>
      <c r="Q192" s="213"/>
      <c r="R192" s="3"/>
      <c r="S192" s="198">
        <f t="shared" si="27"/>
        <v>0</v>
      </c>
      <c r="T192" s="198">
        <f t="shared" si="28"/>
        <v>0</v>
      </c>
      <c r="U192" s="198">
        <f t="shared" si="29"/>
        <v>0</v>
      </c>
      <c r="V192" s="198">
        <f t="shared" si="30"/>
        <v>0</v>
      </c>
      <c r="W192" s="198">
        <f t="shared" si="31"/>
        <v>0</v>
      </c>
      <c r="X192" s="198">
        <f t="shared" si="32"/>
        <v>0</v>
      </c>
      <c r="Y192" s="198">
        <f t="shared" si="33"/>
        <v>0</v>
      </c>
      <c r="Z192" s="198">
        <f t="shared" si="34"/>
        <v>0</v>
      </c>
      <c r="AB192" s="200"/>
    </row>
    <row r="193" spans="1:28" s="199" customFormat="1" ht="29.25" customHeight="1">
      <c r="A193" s="201"/>
      <c r="B193" s="202">
        <f t="shared" si="39"/>
        <v>0.33333333333333331</v>
      </c>
      <c r="C193" s="202">
        <f t="shared" si="40"/>
        <v>0.375</v>
      </c>
      <c r="D193" s="203"/>
      <c r="E193" s="216"/>
      <c r="F193" s="205"/>
      <c r="G193" s="206"/>
      <c r="H193" s="214"/>
      <c r="I193" s="207"/>
      <c r="J193" s="207"/>
      <c r="K193" s="208">
        <f t="shared" si="26"/>
        <v>0</v>
      </c>
      <c r="L193" s="209"/>
      <c r="M193" s="210"/>
      <c r="N193" s="211"/>
      <c r="O193" s="212" t="str">
        <f t="shared" si="25"/>
        <v/>
      </c>
      <c r="P193" s="204"/>
      <c r="Q193" s="213"/>
      <c r="R193" s="3"/>
      <c r="S193" s="198">
        <f t="shared" si="27"/>
        <v>0</v>
      </c>
      <c r="T193" s="198">
        <f t="shared" si="28"/>
        <v>0</v>
      </c>
      <c r="U193" s="198">
        <f t="shared" si="29"/>
        <v>0</v>
      </c>
      <c r="V193" s="198">
        <f t="shared" si="30"/>
        <v>0</v>
      </c>
      <c r="W193" s="198">
        <f t="shared" si="31"/>
        <v>0</v>
      </c>
      <c r="X193" s="198">
        <f t="shared" si="32"/>
        <v>0</v>
      </c>
      <c r="Y193" s="198">
        <f t="shared" si="33"/>
        <v>0</v>
      </c>
      <c r="Z193" s="198">
        <f t="shared" si="34"/>
        <v>0</v>
      </c>
      <c r="AB193" s="200"/>
    </row>
    <row r="194" spans="1:28" ht="29.25" customHeight="1">
      <c r="A194" s="201"/>
      <c r="B194" s="202">
        <f t="shared" si="39"/>
        <v>0.375</v>
      </c>
      <c r="C194" s="202">
        <f t="shared" si="40"/>
        <v>0.41666666666666669</v>
      </c>
      <c r="D194" s="203"/>
      <c r="E194" s="216"/>
      <c r="F194" s="215"/>
      <c r="G194" s="215"/>
      <c r="H194" s="214"/>
      <c r="I194" s="207"/>
      <c r="J194" s="207"/>
      <c r="K194" s="208">
        <f t="shared" si="26"/>
        <v>0</v>
      </c>
      <c r="L194" s="209"/>
      <c r="M194" s="210"/>
      <c r="N194" s="211"/>
      <c r="O194" s="212" t="str">
        <f t="shared" si="25"/>
        <v/>
      </c>
      <c r="P194" s="204"/>
      <c r="Q194" s="213"/>
      <c r="S194" s="198">
        <f t="shared" si="27"/>
        <v>0</v>
      </c>
      <c r="T194" s="198">
        <f t="shared" si="28"/>
        <v>0</v>
      </c>
      <c r="U194" s="198">
        <f t="shared" si="29"/>
        <v>0</v>
      </c>
      <c r="V194" s="198">
        <f t="shared" si="30"/>
        <v>0</v>
      </c>
      <c r="W194" s="198">
        <f t="shared" si="31"/>
        <v>0</v>
      </c>
      <c r="X194" s="198">
        <f t="shared" si="32"/>
        <v>0</v>
      </c>
      <c r="Y194" s="198">
        <f t="shared" si="33"/>
        <v>0</v>
      </c>
      <c r="Z194" s="198">
        <f t="shared" si="34"/>
        <v>0</v>
      </c>
      <c r="AB194" s="200"/>
    </row>
    <row r="195" spans="1:28" ht="29.25" customHeight="1" thickBot="1">
      <c r="A195" s="218"/>
      <c r="B195" s="219">
        <f t="shared" si="39"/>
        <v>0.41666666666666669</v>
      </c>
      <c r="C195" s="219">
        <f t="shared" si="40"/>
        <v>0.45833333333333337</v>
      </c>
      <c r="D195" s="230"/>
      <c r="E195" s="221"/>
      <c r="F195" s="222"/>
      <c r="G195" s="222"/>
      <c r="H195" s="231"/>
      <c r="I195" s="223"/>
      <c r="J195" s="223"/>
      <c r="K195" s="224">
        <f t="shared" si="26"/>
        <v>0</v>
      </c>
      <c r="L195" s="225"/>
      <c r="M195" s="226"/>
      <c r="N195" s="227"/>
      <c r="O195" s="286" t="str">
        <f t="shared" si="25"/>
        <v/>
      </c>
      <c r="P195" s="228"/>
      <c r="Q195" s="229"/>
      <c r="S195" s="198">
        <f t="shared" si="27"/>
        <v>0</v>
      </c>
      <c r="T195" s="198">
        <f t="shared" si="28"/>
        <v>0</v>
      </c>
      <c r="U195" s="198">
        <f t="shared" si="29"/>
        <v>0</v>
      </c>
      <c r="V195" s="198">
        <f t="shared" si="30"/>
        <v>0</v>
      </c>
      <c r="W195" s="198">
        <f t="shared" si="31"/>
        <v>0</v>
      </c>
      <c r="X195" s="198">
        <f t="shared" si="32"/>
        <v>0</v>
      </c>
      <c r="Y195" s="198">
        <f t="shared" si="33"/>
        <v>0</v>
      </c>
      <c r="Z195" s="198">
        <f t="shared" si="34"/>
        <v>0</v>
      </c>
      <c r="AB195" s="200"/>
    </row>
    <row r="196" spans="1:28" ht="29.25" customHeight="1">
      <c r="A196" s="184">
        <f>A155</f>
        <v>0</v>
      </c>
      <c r="B196" s="185">
        <f>B142</f>
        <v>0</v>
      </c>
      <c r="C196" s="185">
        <f>B196+1/24</f>
        <v>4.1666666666666664E-2</v>
      </c>
      <c r="D196" s="186"/>
      <c r="E196" s="187"/>
      <c r="F196" s="188"/>
      <c r="G196" s="189"/>
      <c r="H196" s="190"/>
      <c r="I196" s="191"/>
      <c r="J196" s="191"/>
      <c r="K196" s="192">
        <f t="shared" si="26"/>
        <v>0</v>
      </c>
      <c r="L196" s="193"/>
      <c r="M196" s="194"/>
      <c r="N196" s="195"/>
      <c r="O196" s="196" t="str">
        <f t="shared" si="25"/>
        <v/>
      </c>
      <c r="P196" s="187"/>
      <c r="Q196" s="197"/>
      <c r="S196" s="198">
        <f t="shared" si="27"/>
        <v>0</v>
      </c>
      <c r="T196" s="198">
        <f t="shared" si="28"/>
        <v>0</v>
      </c>
      <c r="U196" s="198">
        <f t="shared" si="29"/>
        <v>0</v>
      </c>
      <c r="V196" s="198">
        <f t="shared" si="30"/>
        <v>0</v>
      </c>
      <c r="W196" s="198">
        <f t="shared" si="31"/>
        <v>0</v>
      </c>
      <c r="X196" s="198">
        <f t="shared" si="32"/>
        <v>0</v>
      </c>
      <c r="Y196" s="198">
        <f t="shared" si="33"/>
        <v>0</v>
      </c>
      <c r="Z196" s="198">
        <f t="shared" si="34"/>
        <v>0</v>
      </c>
      <c r="AB196" s="200"/>
    </row>
    <row r="197" spans="1:28" ht="29.25" customHeight="1">
      <c r="A197" s="201"/>
      <c r="B197" s="202">
        <f>C196</f>
        <v>4.1666666666666664E-2</v>
      </c>
      <c r="C197" s="202">
        <f>B197+1/24</f>
        <v>8.3333333333333329E-2</v>
      </c>
      <c r="D197" s="203"/>
      <c r="E197" s="204"/>
      <c r="F197" s="205"/>
      <c r="G197" s="206"/>
      <c r="H197" s="214"/>
      <c r="I197" s="207"/>
      <c r="J197" s="207"/>
      <c r="K197" s="208">
        <f t="shared" si="26"/>
        <v>0</v>
      </c>
      <c r="L197" s="209"/>
      <c r="M197" s="210"/>
      <c r="N197" s="211"/>
      <c r="O197" s="212" t="str">
        <f t="shared" si="25"/>
        <v/>
      </c>
      <c r="P197" s="204"/>
      <c r="Q197" s="213"/>
      <c r="S197" s="198">
        <f t="shared" si="27"/>
        <v>0</v>
      </c>
      <c r="T197" s="198">
        <f t="shared" si="28"/>
        <v>0</v>
      </c>
      <c r="U197" s="198">
        <f t="shared" si="29"/>
        <v>0</v>
      </c>
      <c r="V197" s="198">
        <f t="shared" si="30"/>
        <v>0</v>
      </c>
      <c r="W197" s="198">
        <f t="shared" si="31"/>
        <v>0</v>
      </c>
      <c r="X197" s="198">
        <f t="shared" si="32"/>
        <v>0</v>
      </c>
      <c r="Y197" s="198">
        <f t="shared" si="33"/>
        <v>0</v>
      </c>
      <c r="Z197" s="198">
        <f t="shared" si="34"/>
        <v>0</v>
      </c>
      <c r="AB197" s="200"/>
    </row>
    <row r="198" spans="1:28" ht="29.25" customHeight="1">
      <c r="A198" s="201"/>
      <c r="B198" s="202">
        <f t="shared" ref="B198:B206" si="41">C197</f>
        <v>8.3333333333333329E-2</v>
      </c>
      <c r="C198" s="202">
        <f t="shared" ref="C198:C206" si="42">B198+1/24</f>
        <v>0.125</v>
      </c>
      <c r="D198" s="203"/>
      <c r="E198" s="204"/>
      <c r="F198" s="215"/>
      <c r="G198" s="215"/>
      <c r="H198" s="214"/>
      <c r="I198" s="207"/>
      <c r="J198" s="207"/>
      <c r="K198" s="208">
        <f t="shared" si="26"/>
        <v>0</v>
      </c>
      <c r="L198" s="209"/>
      <c r="M198" s="210"/>
      <c r="N198" s="211"/>
      <c r="O198" s="212" t="str">
        <f t="shared" si="25"/>
        <v/>
      </c>
      <c r="P198" s="204"/>
      <c r="Q198" s="213"/>
      <c r="S198" s="198">
        <f t="shared" si="27"/>
        <v>0</v>
      </c>
      <c r="T198" s="198">
        <f t="shared" si="28"/>
        <v>0</v>
      </c>
      <c r="U198" s="198">
        <f t="shared" si="29"/>
        <v>0</v>
      </c>
      <c r="V198" s="198">
        <f t="shared" si="30"/>
        <v>0</v>
      </c>
      <c r="W198" s="198">
        <f t="shared" si="31"/>
        <v>0</v>
      </c>
      <c r="X198" s="198">
        <f t="shared" si="32"/>
        <v>0</v>
      </c>
      <c r="Y198" s="198">
        <f t="shared" si="33"/>
        <v>0</v>
      </c>
      <c r="Z198" s="198">
        <f t="shared" si="34"/>
        <v>0</v>
      </c>
      <c r="AB198" s="200"/>
    </row>
    <row r="199" spans="1:28" ht="29.25" customHeight="1">
      <c r="A199" s="201"/>
      <c r="B199" s="202">
        <f t="shared" si="41"/>
        <v>0.125</v>
      </c>
      <c r="C199" s="202">
        <f t="shared" si="42"/>
        <v>0.16666666666666666</v>
      </c>
      <c r="D199" s="203"/>
      <c r="E199" s="204"/>
      <c r="F199" s="215"/>
      <c r="G199" s="215"/>
      <c r="H199" s="214"/>
      <c r="I199" s="207"/>
      <c r="J199" s="207"/>
      <c r="K199" s="208">
        <f t="shared" si="26"/>
        <v>0</v>
      </c>
      <c r="L199" s="209"/>
      <c r="M199" s="210"/>
      <c r="N199" s="211"/>
      <c r="O199" s="212" t="str">
        <f t="shared" si="25"/>
        <v/>
      </c>
      <c r="P199" s="204"/>
      <c r="Q199" s="213"/>
      <c r="S199" s="198">
        <f t="shared" si="27"/>
        <v>0</v>
      </c>
      <c r="T199" s="198">
        <f t="shared" si="28"/>
        <v>0</v>
      </c>
      <c r="U199" s="198">
        <f t="shared" si="29"/>
        <v>0</v>
      </c>
      <c r="V199" s="198">
        <f t="shared" si="30"/>
        <v>0</v>
      </c>
      <c r="W199" s="198">
        <f t="shared" si="31"/>
        <v>0</v>
      </c>
      <c r="X199" s="198">
        <f t="shared" si="32"/>
        <v>0</v>
      </c>
      <c r="Y199" s="198">
        <f t="shared" si="33"/>
        <v>0</v>
      </c>
      <c r="Z199" s="198">
        <f t="shared" si="34"/>
        <v>0</v>
      </c>
      <c r="AB199" s="200"/>
    </row>
    <row r="200" spans="1:28" ht="29.25" customHeight="1">
      <c r="A200" s="201"/>
      <c r="B200" s="202">
        <f t="shared" si="41"/>
        <v>0.16666666666666666</v>
      </c>
      <c r="C200" s="202">
        <f t="shared" si="42"/>
        <v>0.20833333333333331</v>
      </c>
      <c r="D200" s="203"/>
      <c r="E200" s="204"/>
      <c r="F200" s="215"/>
      <c r="G200" s="215"/>
      <c r="H200" s="214"/>
      <c r="I200" s="207"/>
      <c r="J200" s="207"/>
      <c r="K200" s="208">
        <f t="shared" si="26"/>
        <v>0</v>
      </c>
      <c r="L200" s="209"/>
      <c r="M200" s="210"/>
      <c r="N200" s="211"/>
      <c r="O200" s="212" t="str">
        <f t="shared" si="25"/>
        <v/>
      </c>
      <c r="P200" s="204"/>
      <c r="Q200" s="213"/>
      <c r="S200" s="198">
        <f t="shared" si="27"/>
        <v>0</v>
      </c>
      <c r="T200" s="198">
        <f t="shared" si="28"/>
        <v>0</v>
      </c>
      <c r="U200" s="198">
        <f t="shared" si="29"/>
        <v>0</v>
      </c>
      <c r="V200" s="198">
        <f t="shared" si="30"/>
        <v>0</v>
      </c>
      <c r="W200" s="198">
        <f t="shared" si="31"/>
        <v>0</v>
      </c>
      <c r="X200" s="198">
        <f t="shared" si="32"/>
        <v>0</v>
      </c>
      <c r="Y200" s="198">
        <f t="shared" si="33"/>
        <v>0</v>
      </c>
      <c r="Z200" s="198">
        <f t="shared" si="34"/>
        <v>0</v>
      </c>
      <c r="AB200" s="200"/>
    </row>
    <row r="201" spans="1:28" ht="29.25" customHeight="1">
      <c r="A201" s="201"/>
      <c r="B201" s="202">
        <f t="shared" si="41"/>
        <v>0.20833333333333331</v>
      </c>
      <c r="C201" s="202">
        <f t="shared" si="42"/>
        <v>0.24999999999999997</v>
      </c>
      <c r="D201" s="203"/>
      <c r="E201" s="204"/>
      <c r="F201" s="215"/>
      <c r="G201" s="215"/>
      <c r="H201" s="214"/>
      <c r="I201" s="207"/>
      <c r="J201" s="207"/>
      <c r="K201" s="208">
        <f t="shared" si="26"/>
        <v>0</v>
      </c>
      <c r="L201" s="209"/>
      <c r="M201" s="210"/>
      <c r="N201" s="211"/>
      <c r="O201" s="212" t="str">
        <f t="shared" si="25"/>
        <v/>
      </c>
      <c r="P201" s="204"/>
      <c r="Q201" s="213"/>
      <c r="S201" s="198">
        <f t="shared" si="27"/>
        <v>0</v>
      </c>
      <c r="T201" s="198">
        <f t="shared" si="28"/>
        <v>0</v>
      </c>
      <c r="U201" s="198">
        <f t="shared" si="29"/>
        <v>0</v>
      </c>
      <c r="V201" s="198">
        <f t="shared" si="30"/>
        <v>0</v>
      </c>
      <c r="W201" s="198">
        <f t="shared" si="31"/>
        <v>0</v>
      </c>
      <c r="X201" s="198">
        <f t="shared" si="32"/>
        <v>0</v>
      </c>
      <c r="Y201" s="198">
        <f t="shared" si="33"/>
        <v>0</v>
      </c>
      <c r="Z201" s="198">
        <f t="shared" si="34"/>
        <v>0</v>
      </c>
      <c r="AB201" s="200"/>
    </row>
    <row r="202" spans="1:28" ht="29.25" customHeight="1">
      <c r="A202" s="201"/>
      <c r="B202" s="202">
        <f t="shared" si="41"/>
        <v>0.24999999999999997</v>
      </c>
      <c r="C202" s="202">
        <f t="shared" si="42"/>
        <v>0.29166666666666663</v>
      </c>
      <c r="D202" s="203"/>
      <c r="E202" s="216"/>
      <c r="F202" s="215"/>
      <c r="G202" s="215"/>
      <c r="H202" s="214"/>
      <c r="I202" s="207"/>
      <c r="J202" s="207"/>
      <c r="K202" s="208">
        <f t="shared" si="26"/>
        <v>0</v>
      </c>
      <c r="L202" s="209"/>
      <c r="M202" s="210"/>
      <c r="N202" s="211"/>
      <c r="O202" s="212" t="str">
        <f t="shared" si="25"/>
        <v/>
      </c>
      <c r="P202" s="204"/>
      <c r="Q202" s="213"/>
      <c r="S202" s="198">
        <f t="shared" si="27"/>
        <v>0</v>
      </c>
      <c r="T202" s="198">
        <f t="shared" si="28"/>
        <v>0</v>
      </c>
      <c r="U202" s="198">
        <f t="shared" si="29"/>
        <v>0</v>
      </c>
      <c r="V202" s="198">
        <f t="shared" si="30"/>
        <v>0</v>
      </c>
      <c r="W202" s="198">
        <f t="shared" si="31"/>
        <v>0</v>
      </c>
      <c r="X202" s="198">
        <f t="shared" si="32"/>
        <v>0</v>
      </c>
      <c r="Y202" s="198">
        <f t="shared" si="33"/>
        <v>0</v>
      </c>
      <c r="Z202" s="198">
        <f t="shared" si="34"/>
        <v>0</v>
      </c>
      <c r="AB202" s="200"/>
    </row>
    <row r="203" spans="1:28" ht="29.25" customHeight="1">
      <c r="A203" s="201"/>
      <c r="B203" s="202">
        <f t="shared" si="41"/>
        <v>0.29166666666666663</v>
      </c>
      <c r="C203" s="202">
        <f t="shared" si="42"/>
        <v>0.33333333333333331</v>
      </c>
      <c r="D203" s="203"/>
      <c r="E203" s="216"/>
      <c r="F203" s="205"/>
      <c r="G203" s="206"/>
      <c r="H203" s="214"/>
      <c r="I203" s="207"/>
      <c r="J203" s="207"/>
      <c r="K203" s="208">
        <f t="shared" si="26"/>
        <v>0</v>
      </c>
      <c r="L203" s="209"/>
      <c r="M203" s="210"/>
      <c r="N203" s="211"/>
      <c r="O203" s="212" t="str">
        <f t="shared" si="25"/>
        <v/>
      </c>
      <c r="P203" s="204"/>
      <c r="Q203" s="213"/>
      <c r="S203" s="198">
        <f t="shared" si="27"/>
        <v>0</v>
      </c>
      <c r="T203" s="198">
        <f t="shared" si="28"/>
        <v>0</v>
      </c>
      <c r="U203" s="198">
        <f t="shared" si="29"/>
        <v>0</v>
      </c>
      <c r="V203" s="198">
        <f t="shared" si="30"/>
        <v>0</v>
      </c>
      <c r="W203" s="198">
        <f t="shared" si="31"/>
        <v>0</v>
      </c>
      <c r="X203" s="198">
        <f t="shared" si="32"/>
        <v>0</v>
      </c>
      <c r="Y203" s="198">
        <f t="shared" si="33"/>
        <v>0</v>
      </c>
      <c r="Z203" s="198">
        <f t="shared" si="34"/>
        <v>0</v>
      </c>
      <c r="AB203" s="200"/>
    </row>
    <row r="204" spans="1:28" ht="29.25" customHeight="1">
      <c r="A204" s="201"/>
      <c r="B204" s="202">
        <f t="shared" si="41"/>
        <v>0.33333333333333331</v>
      </c>
      <c r="C204" s="202">
        <f t="shared" si="42"/>
        <v>0.375</v>
      </c>
      <c r="D204" s="203"/>
      <c r="E204" s="216"/>
      <c r="F204" s="205"/>
      <c r="G204" s="206"/>
      <c r="H204" s="214"/>
      <c r="I204" s="207"/>
      <c r="J204" s="207"/>
      <c r="K204" s="208">
        <f t="shared" si="26"/>
        <v>0</v>
      </c>
      <c r="L204" s="209"/>
      <c r="M204" s="210"/>
      <c r="N204" s="211"/>
      <c r="O204" s="212" t="str">
        <f t="shared" si="25"/>
        <v/>
      </c>
      <c r="P204" s="204"/>
      <c r="Q204" s="213"/>
      <c r="S204" s="198">
        <f t="shared" si="27"/>
        <v>0</v>
      </c>
      <c r="T204" s="198">
        <f t="shared" si="28"/>
        <v>0</v>
      </c>
      <c r="U204" s="198">
        <f t="shared" si="29"/>
        <v>0</v>
      </c>
      <c r="V204" s="198">
        <f t="shared" si="30"/>
        <v>0</v>
      </c>
      <c r="W204" s="198">
        <f t="shared" si="31"/>
        <v>0</v>
      </c>
      <c r="X204" s="198">
        <f t="shared" si="32"/>
        <v>0</v>
      </c>
      <c r="Y204" s="198">
        <f t="shared" si="33"/>
        <v>0</v>
      </c>
      <c r="Z204" s="198">
        <f t="shared" si="34"/>
        <v>0</v>
      </c>
      <c r="AB204" s="200"/>
    </row>
    <row r="205" spans="1:28" ht="29.25" customHeight="1">
      <c r="A205" s="201"/>
      <c r="B205" s="202">
        <f t="shared" si="41"/>
        <v>0.375</v>
      </c>
      <c r="C205" s="202">
        <f t="shared" si="42"/>
        <v>0.41666666666666669</v>
      </c>
      <c r="D205" s="203"/>
      <c r="E205" s="216"/>
      <c r="F205" s="215"/>
      <c r="G205" s="215"/>
      <c r="H205" s="214"/>
      <c r="I205" s="207"/>
      <c r="J205" s="207"/>
      <c r="K205" s="208">
        <f t="shared" si="26"/>
        <v>0</v>
      </c>
      <c r="L205" s="209"/>
      <c r="M205" s="210"/>
      <c r="N205" s="211"/>
      <c r="O205" s="212" t="str">
        <f t="shared" si="25"/>
        <v/>
      </c>
      <c r="P205" s="204"/>
      <c r="Q205" s="213"/>
      <c r="S205" s="198">
        <f t="shared" si="27"/>
        <v>0</v>
      </c>
      <c r="T205" s="198">
        <f t="shared" si="28"/>
        <v>0</v>
      </c>
      <c r="U205" s="198">
        <f t="shared" si="29"/>
        <v>0</v>
      </c>
      <c r="V205" s="198">
        <f t="shared" si="30"/>
        <v>0</v>
      </c>
      <c r="W205" s="198">
        <f t="shared" si="31"/>
        <v>0</v>
      </c>
      <c r="X205" s="198">
        <f t="shared" si="32"/>
        <v>0</v>
      </c>
      <c r="Y205" s="198">
        <f t="shared" si="33"/>
        <v>0</v>
      </c>
      <c r="Z205" s="198">
        <f t="shared" si="34"/>
        <v>0</v>
      </c>
      <c r="AB205" s="200"/>
    </row>
    <row r="206" spans="1:28" ht="29.25" customHeight="1" thickBot="1">
      <c r="A206" s="218"/>
      <c r="B206" s="219">
        <f t="shared" si="41"/>
        <v>0.41666666666666669</v>
      </c>
      <c r="C206" s="219">
        <f t="shared" si="42"/>
        <v>0.45833333333333337</v>
      </c>
      <c r="D206" s="230"/>
      <c r="E206" s="221"/>
      <c r="F206" s="222"/>
      <c r="G206" s="222"/>
      <c r="H206" s="231"/>
      <c r="I206" s="223"/>
      <c r="J206" s="223"/>
      <c r="K206" s="224">
        <f t="shared" si="26"/>
        <v>0</v>
      </c>
      <c r="L206" s="225"/>
      <c r="M206" s="226"/>
      <c r="N206" s="227"/>
      <c r="O206" s="228" t="str">
        <f t="shared" si="25"/>
        <v/>
      </c>
      <c r="P206" s="228"/>
      <c r="Q206" s="229"/>
      <c r="S206" s="198">
        <f t="shared" si="27"/>
        <v>0</v>
      </c>
      <c r="T206" s="198">
        <f t="shared" si="28"/>
        <v>0</v>
      </c>
      <c r="U206" s="198">
        <f t="shared" si="29"/>
        <v>0</v>
      </c>
      <c r="V206" s="198">
        <f t="shared" si="30"/>
        <v>0</v>
      </c>
      <c r="W206" s="198">
        <f t="shared" si="31"/>
        <v>0</v>
      </c>
      <c r="X206" s="198">
        <f t="shared" si="32"/>
        <v>0</v>
      </c>
      <c r="Y206" s="198">
        <f t="shared" si="33"/>
        <v>0</v>
      </c>
      <c r="Z206" s="198">
        <f t="shared" si="34"/>
        <v>0</v>
      </c>
      <c r="AB206" s="200"/>
    </row>
    <row r="207" spans="1:28" ht="15" hidden="1" customHeight="1">
      <c r="A207" s="232">
        <f>A156</f>
        <v>0</v>
      </c>
      <c r="B207" s="233"/>
      <c r="C207" s="233"/>
      <c r="D207" s="233"/>
      <c r="E207" s="234"/>
      <c r="F207" s="235"/>
      <c r="G207" s="235"/>
      <c r="H207" s="236"/>
      <c r="I207" s="237"/>
      <c r="J207" s="237"/>
      <c r="K207" s="238">
        <f t="shared" si="26"/>
        <v>0</v>
      </c>
      <c r="L207" s="239"/>
      <c r="M207" s="239"/>
      <c r="N207" s="239"/>
      <c r="O207" s="187" t="str">
        <f t="shared" ref="O207:O228" si="43">IF(H207=$V$5,$F$7,"")</f>
        <v/>
      </c>
      <c r="P207" s="240"/>
      <c r="Q207" s="241"/>
      <c r="S207" s="198">
        <f t="shared" si="27"/>
        <v>0</v>
      </c>
      <c r="T207" s="198">
        <f t="shared" si="28"/>
        <v>0</v>
      </c>
      <c r="U207" s="198">
        <f t="shared" si="29"/>
        <v>0</v>
      </c>
      <c r="V207" s="198">
        <f t="shared" si="30"/>
        <v>0</v>
      </c>
      <c r="W207" s="198">
        <f t="shared" si="31"/>
        <v>0</v>
      </c>
      <c r="X207" s="198">
        <f t="shared" si="32"/>
        <v>0</v>
      </c>
      <c r="Y207" s="198">
        <f t="shared" si="33"/>
        <v>0</v>
      </c>
      <c r="Z207" s="198">
        <f t="shared" si="34"/>
        <v>0</v>
      </c>
      <c r="AB207" s="200"/>
    </row>
    <row r="208" spans="1:28" ht="15" hidden="1" customHeight="1">
      <c r="A208" s="232"/>
      <c r="B208" s="242"/>
      <c r="C208" s="242"/>
      <c r="D208" s="242"/>
      <c r="E208" s="243"/>
      <c r="F208" s="244"/>
      <c r="G208" s="244"/>
      <c r="H208" s="214"/>
      <c r="I208" s="207"/>
      <c r="J208" s="207"/>
      <c r="K208" s="245">
        <f t="shared" si="26"/>
        <v>0</v>
      </c>
      <c r="L208" s="246"/>
      <c r="M208" s="246"/>
      <c r="N208" s="246"/>
      <c r="O208" s="187" t="str">
        <f t="shared" si="43"/>
        <v/>
      </c>
      <c r="P208" s="247"/>
      <c r="Q208" s="248"/>
      <c r="S208" s="198">
        <f t="shared" si="27"/>
        <v>0</v>
      </c>
      <c r="T208" s="198">
        <f t="shared" si="28"/>
        <v>0</v>
      </c>
      <c r="U208" s="198">
        <f t="shared" si="29"/>
        <v>0</v>
      </c>
      <c r="V208" s="198">
        <f t="shared" si="30"/>
        <v>0</v>
      </c>
      <c r="W208" s="198">
        <f t="shared" si="31"/>
        <v>0</v>
      </c>
      <c r="X208" s="198">
        <f t="shared" si="32"/>
        <v>0</v>
      </c>
      <c r="Y208" s="198">
        <f t="shared" si="33"/>
        <v>0</v>
      </c>
      <c r="Z208" s="198">
        <f t="shared" si="34"/>
        <v>0</v>
      </c>
      <c r="AB208" s="200"/>
    </row>
    <row r="209" spans="1:28" ht="15" hidden="1" customHeight="1">
      <c r="A209" s="232"/>
      <c r="B209" s="242"/>
      <c r="C209" s="242"/>
      <c r="D209" s="242"/>
      <c r="E209" s="243"/>
      <c r="F209" s="244"/>
      <c r="G209" s="244"/>
      <c r="H209" s="214"/>
      <c r="I209" s="207"/>
      <c r="J209" s="207"/>
      <c r="K209" s="245">
        <f t="shared" si="26"/>
        <v>0</v>
      </c>
      <c r="L209" s="246"/>
      <c r="M209" s="246"/>
      <c r="N209" s="246"/>
      <c r="O209" s="187" t="str">
        <f t="shared" si="43"/>
        <v/>
      </c>
      <c r="P209" s="247"/>
      <c r="Q209" s="248"/>
      <c r="S209" s="198">
        <f t="shared" si="27"/>
        <v>0</v>
      </c>
      <c r="T209" s="198">
        <f t="shared" si="28"/>
        <v>0</v>
      </c>
      <c r="U209" s="198">
        <f t="shared" si="29"/>
        <v>0</v>
      </c>
      <c r="V209" s="198">
        <f t="shared" si="30"/>
        <v>0</v>
      </c>
      <c r="W209" s="198">
        <f t="shared" si="31"/>
        <v>0</v>
      </c>
      <c r="X209" s="198">
        <f t="shared" si="32"/>
        <v>0</v>
      </c>
      <c r="Y209" s="198">
        <f t="shared" si="33"/>
        <v>0</v>
      </c>
      <c r="Z209" s="198">
        <f t="shared" si="34"/>
        <v>0</v>
      </c>
      <c r="AB209" s="200"/>
    </row>
    <row r="210" spans="1:28" ht="15" hidden="1" customHeight="1">
      <c r="A210" s="232"/>
      <c r="B210" s="242"/>
      <c r="C210" s="242"/>
      <c r="D210" s="242"/>
      <c r="E210" s="243"/>
      <c r="F210" s="244"/>
      <c r="G210" s="244"/>
      <c r="H210" s="214"/>
      <c r="I210" s="207"/>
      <c r="J210" s="207"/>
      <c r="K210" s="245">
        <f t="shared" si="26"/>
        <v>0</v>
      </c>
      <c r="L210" s="246"/>
      <c r="M210" s="246"/>
      <c r="N210" s="246"/>
      <c r="O210" s="187" t="str">
        <f t="shared" si="43"/>
        <v/>
      </c>
      <c r="P210" s="247"/>
      <c r="Q210" s="248"/>
      <c r="S210" s="198">
        <f t="shared" si="27"/>
        <v>0</v>
      </c>
      <c r="T210" s="198">
        <f t="shared" si="28"/>
        <v>0</v>
      </c>
      <c r="U210" s="198">
        <f t="shared" si="29"/>
        <v>0</v>
      </c>
      <c r="V210" s="198">
        <f t="shared" si="30"/>
        <v>0</v>
      </c>
      <c r="W210" s="198">
        <f t="shared" si="31"/>
        <v>0</v>
      </c>
      <c r="X210" s="198">
        <f t="shared" si="32"/>
        <v>0</v>
      </c>
      <c r="Y210" s="198">
        <f t="shared" si="33"/>
        <v>0</v>
      </c>
      <c r="Z210" s="198">
        <f t="shared" si="34"/>
        <v>0</v>
      </c>
      <c r="AB210" s="200"/>
    </row>
    <row r="211" spans="1:28" ht="15" hidden="1" customHeight="1">
      <c r="A211" s="232"/>
      <c r="B211" s="242"/>
      <c r="C211" s="242"/>
      <c r="D211" s="242"/>
      <c r="E211" s="243"/>
      <c r="F211" s="244"/>
      <c r="G211" s="244"/>
      <c r="H211" s="214"/>
      <c r="I211" s="207"/>
      <c r="J211" s="207"/>
      <c r="K211" s="245">
        <f t="shared" si="26"/>
        <v>0</v>
      </c>
      <c r="L211" s="246"/>
      <c r="M211" s="246"/>
      <c r="N211" s="246"/>
      <c r="O211" s="187" t="str">
        <f t="shared" si="43"/>
        <v/>
      </c>
      <c r="P211" s="247"/>
      <c r="Q211" s="248"/>
      <c r="S211" s="198">
        <f t="shared" si="27"/>
        <v>0</v>
      </c>
      <c r="T211" s="198">
        <f t="shared" si="28"/>
        <v>0</v>
      </c>
      <c r="U211" s="198">
        <f t="shared" si="29"/>
        <v>0</v>
      </c>
      <c r="V211" s="198">
        <f t="shared" si="30"/>
        <v>0</v>
      </c>
      <c r="W211" s="198">
        <f t="shared" si="31"/>
        <v>0</v>
      </c>
      <c r="X211" s="198">
        <f t="shared" si="32"/>
        <v>0</v>
      </c>
      <c r="Y211" s="198">
        <f t="shared" si="33"/>
        <v>0</v>
      </c>
      <c r="Z211" s="198">
        <f t="shared" si="34"/>
        <v>0</v>
      </c>
      <c r="AB211" s="200"/>
    </row>
    <row r="212" spans="1:28" ht="15" hidden="1" customHeight="1">
      <c r="A212" s="232"/>
      <c r="B212" s="242"/>
      <c r="C212" s="242"/>
      <c r="D212" s="242"/>
      <c r="E212" s="243"/>
      <c r="F212" s="244"/>
      <c r="G212" s="244"/>
      <c r="H212" s="214"/>
      <c r="I212" s="207"/>
      <c r="J212" s="207"/>
      <c r="K212" s="245">
        <f t="shared" si="26"/>
        <v>0</v>
      </c>
      <c r="L212" s="246"/>
      <c r="M212" s="246"/>
      <c r="N212" s="246"/>
      <c r="O212" s="187" t="str">
        <f t="shared" si="43"/>
        <v/>
      </c>
      <c r="P212" s="247"/>
      <c r="Q212" s="248"/>
      <c r="S212" s="198">
        <f t="shared" si="27"/>
        <v>0</v>
      </c>
      <c r="T212" s="198">
        <f t="shared" si="28"/>
        <v>0</v>
      </c>
      <c r="U212" s="198">
        <f t="shared" si="29"/>
        <v>0</v>
      </c>
      <c r="V212" s="198">
        <f t="shared" si="30"/>
        <v>0</v>
      </c>
      <c r="W212" s="198">
        <f t="shared" si="31"/>
        <v>0</v>
      </c>
      <c r="X212" s="198">
        <f t="shared" si="32"/>
        <v>0</v>
      </c>
      <c r="Y212" s="198">
        <f t="shared" si="33"/>
        <v>0</v>
      </c>
      <c r="Z212" s="198">
        <f t="shared" si="34"/>
        <v>0</v>
      </c>
      <c r="AB212" s="200"/>
    </row>
    <row r="213" spans="1:28" ht="15" hidden="1" customHeight="1">
      <c r="A213" s="232"/>
      <c r="B213" s="242"/>
      <c r="C213" s="242"/>
      <c r="D213" s="242"/>
      <c r="E213" s="243"/>
      <c r="F213" s="244"/>
      <c r="G213" s="244"/>
      <c r="H213" s="214"/>
      <c r="I213" s="207"/>
      <c r="J213" s="207"/>
      <c r="K213" s="245">
        <f t="shared" si="26"/>
        <v>0</v>
      </c>
      <c r="L213" s="246"/>
      <c r="M213" s="246"/>
      <c r="N213" s="246"/>
      <c r="O213" s="187" t="str">
        <f t="shared" si="43"/>
        <v/>
      </c>
      <c r="P213" s="247"/>
      <c r="Q213" s="248"/>
      <c r="S213" s="198">
        <f t="shared" si="27"/>
        <v>0</v>
      </c>
      <c r="T213" s="198">
        <f t="shared" si="28"/>
        <v>0</v>
      </c>
      <c r="U213" s="198">
        <f t="shared" si="29"/>
        <v>0</v>
      </c>
      <c r="V213" s="198">
        <f t="shared" si="30"/>
        <v>0</v>
      </c>
      <c r="W213" s="198">
        <f t="shared" si="31"/>
        <v>0</v>
      </c>
      <c r="X213" s="198">
        <f t="shared" si="32"/>
        <v>0</v>
      </c>
      <c r="Y213" s="198">
        <f t="shared" si="33"/>
        <v>0</v>
      </c>
      <c r="Z213" s="198">
        <f t="shared" si="34"/>
        <v>0</v>
      </c>
      <c r="AB213" s="200"/>
    </row>
    <row r="214" spans="1:28" ht="15" hidden="1" customHeight="1">
      <c r="A214" s="232"/>
      <c r="B214" s="242"/>
      <c r="C214" s="242"/>
      <c r="D214" s="242"/>
      <c r="E214" s="243"/>
      <c r="F214" s="244"/>
      <c r="G214" s="244"/>
      <c r="H214" s="214"/>
      <c r="I214" s="207"/>
      <c r="J214" s="207"/>
      <c r="K214" s="245">
        <f t="shared" si="26"/>
        <v>0</v>
      </c>
      <c r="L214" s="246"/>
      <c r="M214" s="246"/>
      <c r="N214" s="246"/>
      <c r="O214" s="187" t="str">
        <f t="shared" si="43"/>
        <v/>
      </c>
      <c r="P214" s="247"/>
      <c r="Q214" s="248"/>
      <c r="S214" s="198">
        <f t="shared" si="27"/>
        <v>0</v>
      </c>
      <c r="T214" s="198">
        <f t="shared" si="28"/>
        <v>0</v>
      </c>
      <c r="U214" s="198">
        <f t="shared" si="29"/>
        <v>0</v>
      </c>
      <c r="V214" s="198">
        <f t="shared" si="30"/>
        <v>0</v>
      </c>
      <c r="W214" s="198">
        <f t="shared" si="31"/>
        <v>0</v>
      </c>
      <c r="X214" s="198">
        <f t="shared" si="32"/>
        <v>0</v>
      </c>
      <c r="Y214" s="198">
        <f t="shared" si="33"/>
        <v>0</v>
      </c>
      <c r="Z214" s="198">
        <f t="shared" si="34"/>
        <v>0</v>
      </c>
      <c r="AB214" s="200"/>
    </row>
    <row r="215" spans="1:28" ht="15" hidden="1" customHeight="1">
      <c r="A215" s="232"/>
      <c r="B215" s="242"/>
      <c r="C215" s="242"/>
      <c r="D215" s="242"/>
      <c r="E215" s="243"/>
      <c r="F215" s="244"/>
      <c r="G215" s="244"/>
      <c r="H215" s="214"/>
      <c r="I215" s="207"/>
      <c r="J215" s="207"/>
      <c r="K215" s="245">
        <f t="shared" si="26"/>
        <v>0</v>
      </c>
      <c r="L215" s="246"/>
      <c r="M215" s="246"/>
      <c r="N215" s="246"/>
      <c r="O215" s="187" t="str">
        <f t="shared" si="43"/>
        <v/>
      </c>
      <c r="P215" s="247"/>
      <c r="Q215" s="248"/>
      <c r="S215" s="198">
        <f t="shared" si="27"/>
        <v>0</v>
      </c>
      <c r="T215" s="198">
        <f t="shared" si="28"/>
        <v>0</v>
      </c>
      <c r="U215" s="198">
        <f t="shared" si="29"/>
        <v>0</v>
      </c>
      <c r="V215" s="198">
        <f t="shared" si="30"/>
        <v>0</v>
      </c>
      <c r="W215" s="198">
        <f t="shared" si="31"/>
        <v>0</v>
      </c>
      <c r="X215" s="198">
        <f t="shared" si="32"/>
        <v>0</v>
      </c>
      <c r="Y215" s="198">
        <f t="shared" si="33"/>
        <v>0</v>
      </c>
      <c r="Z215" s="198">
        <f t="shared" si="34"/>
        <v>0</v>
      </c>
      <c r="AB215" s="200"/>
    </row>
    <row r="216" spans="1:28" ht="15" hidden="1" customHeight="1" thickBot="1">
      <c r="A216" s="232"/>
      <c r="B216" s="242"/>
      <c r="C216" s="242"/>
      <c r="D216" s="242"/>
      <c r="E216" s="243"/>
      <c r="F216" s="244"/>
      <c r="G216" s="244"/>
      <c r="H216" s="249"/>
      <c r="I216" s="207"/>
      <c r="J216" s="207"/>
      <c r="K216" s="245">
        <f t="shared" si="26"/>
        <v>0</v>
      </c>
      <c r="L216" s="246"/>
      <c r="M216" s="246"/>
      <c r="N216" s="246"/>
      <c r="O216" s="187" t="str">
        <f t="shared" si="43"/>
        <v/>
      </c>
      <c r="P216" s="247"/>
      <c r="Q216" s="248"/>
      <c r="S216" s="198">
        <f t="shared" si="27"/>
        <v>0</v>
      </c>
      <c r="T216" s="198">
        <f t="shared" si="28"/>
        <v>0</v>
      </c>
      <c r="U216" s="198">
        <f t="shared" si="29"/>
        <v>0</v>
      </c>
      <c r="V216" s="198">
        <f t="shared" si="30"/>
        <v>0</v>
      </c>
      <c r="W216" s="198">
        <f t="shared" si="31"/>
        <v>0</v>
      </c>
      <c r="X216" s="198">
        <f t="shared" si="32"/>
        <v>0</v>
      </c>
      <c r="Y216" s="198">
        <f t="shared" si="33"/>
        <v>0</v>
      </c>
      <c r="Z216" s="198">
        <f t="shared" si="34"/>
        <v>0</v>
      </c>
      <c r="AB216" s="200"/>
    </row>
    <row r="217" spans="1:28" ht="15" hidden="1" customHeight="1" thickBot="1">
      <c r="A217" s="250"/>
      <c r="B217" s="242"/>
      <c r="C217" s="242"/>
      <c r="D217" s="242"/>
      <c r="E217" s="243"/>
      <c r="F217" s="244"/>
      <c r="G217" s="244"/>
      <c r="H217" s="249"/>
      <c r="I217" s="207"/>
      <c r="J217" s="207"/>
      <c r="K217" s="245">
        <f t="shared" si="26"/>
        <v>0</v>
      </c>
      <c r="L217" s="246"/>
      <c r="M217" s="246"/>
      <c r="N217" s="246"/>
      <c r="O217" s="187" t="str">
        <f t="shared" si="43"/>
        <v/>
      </c>
      <c r="P217" s="247"/>
      <c r="Q217" s="248"/>
      <c r="S217" s="198">
        <f t="shared" si="27"/>
        <v>0</v>
      </c>
      <c r="T217" s="198">
        <f t="shared" si="28"/>
        <v>0</v>
      </c>
      <c r="U217" s="198">
        <f t="shared" si="29"/>
        <v>0</v>
      </c>
      <c r="V217" s="198">
        <f t="shared" si="30"/>
        <v>0</v>
      </c>
      <c r="W217" s="198">
        <f t="shared" si="31"/>
        <v>0</v>
      </c>
      <c r="X217" s="198">
        <f t="shared" si="32"/>
        <v>0</v>
      </c>
      <c r="Y217" s="198">
        <f t="shared" si="33"/>
        <v>0</v>
      </c>
      <c r="Z217" s="198">
        <f t="shared" si="34"/>
        <v>0</v>
      </c>
      <c r="AB217" s="200"/>
    </row>
    <row r="218" spans="1:28" ht="15" hidden="1" customHeight="1" thickBot="1">
      <c r="A218" s="251">
        <f>A157</f>
        <v>0</v>
      </c>
      <c r="B218" s="242"/>
      <c r="C218" s="242"/>
      <c r="D218" s="242"/>
      <c r="E218" s="252"/>
      <c r="F218" s="253"/>
      <c r="G218" s="253"/>
      <c r="H218" s="254"/>
      <c r="I218" s="255"/>
      <c r="J218" s="255"/>
      <c r="K218" s="256">
        <f t="shared" si="26"/>
        <v>0</v>
      </c>
      <c r="L218" s="257"/>
      <c r="M218" s="257"/>
      <c r="N218" s="257"/>
      <c r="O218" s="187" t="str">
        <f t="shared" si="43"/>
        <v/>
      </c>
      <c r="P218" s="258"/>
      <c r="Q218" s="259"/>
      <c r="S218" s="198">
        <f t="shared" si="27"/>
        <v>0</v>
      </c>
      <c r="T218" s="198">
        <f t="shared" si="28"/>
        <v>0</v>
      </c>
      <c r="U218" s="198">
        <f t="shared" si="29"/>
        <v>0</v>
      </c>
      <c r="V218" s="198">
        <f t="shared" si="30"/>
        <v>0</v>
      </c>
      <c r="W218" s="198">
        <f t="shared" si="31"/>
        <v>0</v>
      </c>
      <c r="X218" s="198">
        <f t="shared" si="32"/>
        <v>0</v>
      </c>
      <c r="Y218" s="198">
        <f t="shared" si="33"/>
        <v>0</v>
      </c>
      <c r="Z218" s="198">
        <f t="shared" si="34"/>
        <v>0</v>
      </c>
      <c r="AB218" s="200"/>
    </row>
    <row r="219" spans="1:28" ht="15" hidden="1" customHeight="1" thickBot="1">
      <c r="A219" s="232"/>
      <c r="B219" s="242"/>
      <c r="C219" s="242"/>
      <c r="D219" s="242"/>
      <c r="E219" s="260"/>
      <c r="F219" s="261"/>
      <c r="G219" s="261"/>
      <c r="H219" s="262"/>
      <c r="I219" s="263"/>
      <c r="J219" s="263"/>
      <c r="K219" s="245">
        <f t="shared" si="26"/>
        <v>0</v>
      </c>
      <c r="L219" s="264"/>
      <c r="M219" s="264"/>
      <c r="N219" s="264"/>
      <c r="O219" s="187" t="str">
        <f t="shared" si="43"/>
        <v/>
      </c>
      <c r="P219" s="265"/>
      <c r="Q219" s="266"/>
      <c r="S219" s="198">
        <f t="shared" si="27"/>
        <v>0</v>
      </c>
      <c r="T219" s="198">
        <f t="shared" si="28"/>
        <v>0</v>
      </c>
      <c r="U219" s="198">
        <f t="shared" si="29"/>
        <v>0</v>
      </c>
      <c r="V219" s="198">
        <f t="shared" si="30"/>
        <v>0</v>
      </c>
      <c r="W219" s="198">
        <f t="shared" si="31"/>
        <v>0</v>
      </c>
      <c r="X219" s="198">
        <f t="shared" si="32"/>
        <v>0</v>
      </c>
      <c r="Y219" s="198">
        <f t="shared" si="33"/>
        <v>0</v>
      </c>
      <c r="Z219" s="198">
        <f t="shared" si="34"/>
        <v>0</v>
      </c>
      <c r="AB219" s="200"/>
    </row>
    <row r="220" spans="1:28" ht="15" hidden="1" customHeight="1" thickBot="1">
      <c r="A220" s="232"/>
      <c r="B220" s="242"/>
      <c r="C220" s="242"/>
      <c r="D220" s="242"/>
      <c r="E220" s="260"/>
      <c r="F220" s="261"/>
      <c r="G220" s="261"/>
      <c r="H220" s="262"/>
      <c r="I220" s="263"/>
      <c r="J220" s="263"/>
      <c r="K220" s="245">
        <f t="shared" si="26"/>
        <v>0</v>
      </c>
      <c r="L220" s="264"/>
      <c r="M220" s="264"/>
      <c r="N220" s="264"/>
      <c r="O220" s="187" t="str">
        <f t="shared" si="43"/>
        <v/>
      </c>
      <c r="P220" s="265"/>
      <c r="Q220" s="266"/>
      <c r="S220" s="198">
        <f t="shared" si="27"/>
        <v>0</v>
      </c>
      <c r="T220" s="198">
        <f t="shared" si="28"/>
        <v>0</v>
      </c>
      <c r="U220" s="198">
        <f t="shared" si="29"/>
        <v>0</v>
      </c>
      <c r="V220" s="198">
        <f t="shared" si="30"/>
        <v>0</v>
      </c>
      <c r="W220" s="198">
        <f t="shared" si="31"/>
        <v>0</v>
      </c>
      <c r="X220" s="198">
        <f t="shared" si="32"/>
        <v>0</v>
      </c>
      <c r="Y220" s="198">
        <f t="shared" si="33"/>
        <v>0</v>
      </c>
      <c r="Z220" s="198">
        <f t="shared" si="34"/>
        <v>0</v>
      </c>
      <c r="AB220" s="200"/>
    </row>
    <row r="221" spans="1:28" ht="15" hidden="1" customHeight="1" thickBot="1">
      <c r="A221" s="232"/>
      <c r="B221" s="242"/>
      <c r="C221" s="242"/>
      <c r="D221" s="242"/>
      <c r="E221" s="260"/>
      <c r="F221" s="261"/>
      <c r="G221" s="261"/>
      <c r="H221" s="262"/>
      <c r="I221" s="263"/>
      <c r="J221" s="263"/>
      <c r="K221" s="245">
        <f t="shared" si="26"/>
        <v>0</v>
      </c>
      <c r="L221" s="264"/>
      <c r="M221" s="264"/>
      <c r="N221" s="264"/>
      <c r="O221" s="187" t="str">
        <f t="shared" si="43"/>
        <v/>
      </c>
      <c r="P221" s="265"/>
      <c r="Q221" s="266"/>
      <c r="S221" s="198">
        <f t="shared" si="27"/>
        <v>0</v>
      </c>
      <c r="T221" s="198">
        <f t="shared" si="28"/>
        <v>0</v>
      </c>
      <c r="U221" s="198">
        <f t="shared" si="29"/>
        <v>0</v>
      </c>
      <c r="V221" s="198">
        <f t="shared" si="30"/>
        <v>0</v>
      </c>
      <c r="W221" s="198">
        <f t="shared" si="31"/>
        <v>0</v>
      </c>
      <c r="X221" s="198">
        <f t="shared" si="32"/>
        <v>0</v>
      </c>
      <c r="Y221" s="198">
        <f t="shared" si="33"/>
        <v>0</v>
      </c>
      <c r="Z221" s="198">
        <f t="shared" si="34"/>
        <v>0</v>
      </c>
      <c r="AB221" s="200"/>
    </row>
    <row r="222" spans="1:28" ht="15" hidden="1" customHeight="1" thickBot="1">
      <c r="A222" s="232"/>
      <c r="B222" s="242"/>
      <c r="C222" s="242"/>
      <c r="D222" s="242"/>
      <c r="E222" s="260"/>
      <c r="F222" s="261"/>
      <c r="G222" s="261"/>
      <c r="H222" s="262"/>
      <c r="I222" s="263"/>
      <c r="J222" s="263"/>
      <c r="K222" s="245">
        <f t="shared" si="26"/>
        <v>0</v>
      </c>
      <c r="L222" s="264"/>
      <c r="M222" s="264"/>
      <c r="N222" s="264"/>
      <c r="O222" s="187" t="str">
        <f t="shared" si="43"/>
        <v/>
      </c>
      <c r="P222" s="265"/>
      <c r="Q222" s="266"/>
      <c r="S222" s="198">
        <f t="shared" si="27"/>
        <v>0</v>
      </c>
      <c r="T222" s="198">
        <f t="shared" si="28"/>
        <v>0</v>
      </c>
      <c r="U222" s="198">
        <f t="shared" si="29"/>
        <v>0</v>
      </c>
      <c r="V222" s="198">
        <f t="shared" si="30"/>
        <v>0</v>
      </c>
      <c r="W222" s="198">
        <f t="shared" si="31"/>
        <v>0</v>
      </c>
      <c r="X222" s="198">
        <f t="shared" si="32"/>
        <v>0</v>
      </c>
      <c r="Y222" s="198">
        <f t="shared" si="33"/>
        <v>0</v>
      </c>
      <c r="Z222" s="198">
        <f t="shared" si="34"/>
        <v>0</v>
      </c>
      <c r="AB222" s="200"/>
    </row>
    <row r="223" spans="1:28" ht="15" hidden="1" customHeight="1" thickBot="1">
      <c r="A223" s="232"/>
      <c r="B223" s="242"/>
      <c r="C223" s="242"/>
      <c r="D223" s="242"/>
      <c r="E223" s="260"/>
      <c r="F223" s="261"/>
      <c r="G223" s="261"/>
      <c r="H223" s="262"/>
      <c r="I223" s="263"/>
      <c r="J223" s="263"/>
      <c r="K223" s="245">
        <f t="shared" si="26"/>
        <v>0</v>
      </c>
      <c r="L223" s="264"/>
      <c r="M223" s="264"/>
      <c r="N223" s="264"/>
      <c r="O223" s="187" t="str">
        <f t="shared" si="43"/>
        <v/>
      </c>
      <c r="P223" s="265"/>
      <c r="Q223" s="266"/>
      <c r="S223" s="198">
        <f t="shared" si="27"/>
        <v>0</v>
      </c>
      <c r="T223" s="198">
        <f t="shared" si="28"/>
        <v>0</v>
      </c>
      <c r="U223" s="198">
        <f t="shared" si="29"/>
        <v>0</v>
      </c>
      <c r="V223" s="198">
        <f t="shared" si="30"/>
        <v>0</v>
      </c>
      <c r="W223" s="198">
        <f t="shared" si="31"/>
        <v>0</v>
      </c>
      <c r="X223" s="198">
        <f t="shared" si="32"/>
        <v>0</v>
      </c>
      <c r="Y223" s="198">
        <f t="shared" si="33"/>
        <v>0</v>
      </c>
      <c r="Z223" s="198">
        <f t="shared" si="34"/>
        <v>0</v>
      </c>
      <c r="AB223" s="200"/>
    </row>
    <row r="224" spans="1:28" ht="15" hidden="1" customHeight="1" thickBot="1">
      <c r="A224" s="232"/>
      <c r="B224" s="242"/>
      <c r="C224" s="242"/>
      <c r="D224" s="242"/>
      <c r="E224" s="260"/>
      <c r="F224" s="261"/>
      <c r="G224" s="261"/>
      <c r="H224" s="262"/>
      <c r="I224" s="263"/>
      <c r="J224" s="263"/>
      <c r="K224" s="245">
        <f t="shared" si="26"/>
        <v>0</v>
      </c>
      <c r="L224" s="264"/>
      <c r="M224" s="264"/>
      <c r="N224" s="264"/>
      <c r="O224" s="187" t="str">
        <f t="shared" si="43"/>
        <v/>
      </c>
      <c r="P224" s="265"/>
      <c r="Q224" s="266"/>
      <c r="S224" s="198">
        <f t="shared" si="27"/>
        <v>0</v>
      </c>
      <c r="T224" s="198">
        <f t="shared" si="28"/>
        <v>0</v>
      </c>
      <c r="U224" s="198">
        <f t="shared" si="29"/>
        <v>0</v>
      </c>
      <c r="V224" s="198">
        <f t="shared" si="30"/>
        <v>0</v>
      </c>
      <c r="W224" s="198">
        <f t="shared" si="31"/>
        <v>0</v>
      </c>
      <c r="X224" s="198">
        <f t="shared" si="32"/>
        <v>0</v>
      </c>
      <c r="Y224" s="198">
        <f t="shared" si="33"/>
        <v>0</v>
      </c>
      <c r="Z224" s="198">
        <f t="shared" si="34"/>
        <v>0</v>
      </c>
      <c r="AB224" s="200"/>
    </row>
    <row r="225" spans="1:28" ht="15" hidden="1" customHeight="1" thickBot="1">
      <c r="A225" s="232"/>
      <c r="B225" s="242"/>
      <c r="C225" s="242"/>
      <c r="D225" s="242"/>
      <c r="E225" s="260"/>
      <c r="F225" s="261"/>
      <c r="G225" s="261"/>
      <c r="H225" s="262"/>
      <c r="I225" s="263"/>
      <c r="J225" s="263"/>
      <c r="K225" s="245">
        <f t="shared" si="26"/>
        <v>0</v>
      </c>
      <c r="L225" s="264"/>
      <c r="M225" s="264"/>
      <c r="N225" s="264"/>
      <c r="O225" s="187" t="str">
        <f t="shared" si="43"/>
        <v/>
      </c>
      <c r="P225" s="265"/>
      <c r="Q225" s="266"/>
      <c r="S225" s="198">
        <f t="shared" si="27"/>
        <v>0</v>
      </c>
      <c r="T225" s="198">
        <f t="shared" si="28"/>
        <v>0</v>
      </c>
      <c r="U225" s="198">
        <f t="shared" si="29"/>
        <v>0</v>
      </c>
      <c r="V225" s="198">
        <f t="shared" si="30"/>
        <v>0</v>
      </c>
      <c r="W225" s="198">
        <f t="shared" si="31"/>
        <v>0</v>
      </c>
      <c r="X225" s="198">
        <f t="shared" si="32"/>
        <v>0</v>
      </c>
      <c r="Y225" s="198">
        <f t="shared" si="33"/>
        <v>0</v>
      </c>
      <c r="Z225" s="198">
        <f t="shared" si="34"/>
        <v>0</v>
      </c>
      <c r="AB225" s="200"/>
    </row>
    <row r="226" spans="1:28" ht="15" hidden="1" customHeight="1" thickBot="1">
      <c r="A226" s="232"/>
      <c r="B226" s="242"/>
      <c r="C226" s="242"/>
      <c r="D226" s="242"/>
      <c r="E226" s="260"/>
      <c r="F226" s="261"/>
      <c r="G226" s="261"/>
      <c r="H226" s="262"/>
      <c r="I226" s="263"/>
      <c r="J226" s="263"/>
      <c r="K226" s="245">
        <f t="shared" si="26"/>
        <v>0</v>
      </c>
      <c r="L226" s="264"/>
      <c r="M226" s="264"/>
      <c r="N226" s="264"/>
      <c r="O226" s="187" t="str">
        <f t="shared" si="43"/>
        <v/>
      </c>
      <c r="P226" s="265"/>
      <c r="Q226" s="266"/>
      <c r="S226" s="198">
        <f t="shared" si="27"/>
        <v>0</v>
      </c>
      <c r="T226" s="198">
        <f t="shared" si="28"/>
        <v>0</v>
      </c>
      <c r="U226" s="198">
        <f t="shared" si="29"/>
        <v>0</v>
      </c>
      <c r="V226" s="198">
        <f t="shared" si="30"/>
        <v>0</v>
      </c>
      <c r="W226" s="198">
        <f t="shared" si="31"/>
        <v>0</v>
      </c>
      <c r="X226" s="198">
        <f t="shared" si="32"/>
        <v>0</v>
      </c>
      <c r="Y226" s="198">
        <f t="shared" si="33"/>
        <v>0</v>
      </c>
      <c r="Z226" s="198">
        <f t="shared" si="34"/>
        <v>0</v>
      </c>
      <c r="AB226" s="200"/>
    </row>
    <row r="227" spans="1:28" ht="15" hidden="1" customHeight="1" thickBot="1">
      <c r="A227" s="232"/>
      <c r="B227" s="242"/>
      <c r="C227" s="242"/>
      <c r="D227" s="242"/>
      <c r="E227" s="260"/>
      <c r="F227" s="261"/>
      <c r="G227" s="261"/>
      <c r="H227" s="267"/>
      <c r="I227" s="263"/>
      <c r="J227" s="263"/>
      <c r="K227" s="245">
        <f>(J227-I227+(J227&lt;I227))*24*60</f>
        <v>0</v>
      </c>
      <c r="L227" s="264"/>
      <c r="M227" s="264"/>
      <c r="N227" s="264"/>
      <c r="O227" s="187" t="str">
        <f t="shared" si="43"/>
        <v/>
      </c>
      <c r="P227" s="265"/>
      <c r="Q227" s="266"/>
      <c r="S227" s="198">
        <f>IF($H227="ПЛАНОВЫЕ",$K227,0)</f>
        <v>0</v>
      </c>
      <c r="T227" s="198">
        <f>IF($H227="ПРОИЗВОДСТВЕННЫЕ",$K227,0)</f>
        <v>0</v>
      </c>
      <c r="U227" s="198">
        <f>IF($H227="ТЕХНИЧЕСКИЕ",$K227,0)</f>
        <v>0</v>
      </c>
      <c r="V227" s="198">
        <f>IF($H227="ТЕХНОЛОГИЧЕСКИЕ",$K227,0)</f>
        <v>0</v>
      </c>
      <c r="W227" s="198">
        <f>IF($H227="ЛАБОРАТОРНЫЕ",$K227,0)</f>
        <v>0</v>
      </c>
      <c r="X227" s="198">
        <f>IF($H227="СЫРЬЕВЫЕ",$K227,0)</f>
        <v>0</v>
      </c>
      <c r="Y227" s="198">
        <f>IF($H227="ЛОГИСТИЧЕСКИЕ",$K227,0)</f>
        <v>0</v>
      </c>
      <c r="Z227" s="198">
        <f>IF($H227="ОБЩЕЗАВОДСКИЕ",$K227,0)</f>
        <v>0</v>
      </c>
      <c r="AB227" s="200"/>
    </row>
    <row r="228" spans="1:28" ht="15" hidden="1" customHeight="1" thickBot="1">
      <c r="A228" s="232"/>
      <c r="B228" s="242"/>
      <c r="C228" s="242"/>
      <c r="D228" s="242"/>
      <c r="E228" s="260"/>
      <c r="F228" s="261"/>
      <c r="G228" s="261"/>
      <c r="H228" s="267"/>
      <c r="I228" s="263"/>
      <c r="J228" s="263"/>
      <c r="K228" s="245">
        <f>(J228-I228+(J228&lt;I228))*24*60</f>
        <v>0</v>
      </c>
      <c r="L228" s="264"/>
      <c r="M228" s="264"/>
      <c r="N228" s="264"/>
      <c r="O228" s="187" t="str">
        <f t="shared" si="43"/>
        <v/>
      </c>
      <c r="P228" s="265"/>
      <c r="Q228" s="266"/>
      <c r="S228" s="198">
        <f>IF($H228="ПЛАНОВЫЕ",$K228,0)</f>
        <v>0</v>
      </c>
      <c r="T228" s="198">
        <f>IF($H228="ПРОИЗВОДСТВЕННЫЕ",$K228,0)</f>
        <v>0</v>
      </c>
      <c r="U228" s="198">
        <f>IF($H228="ТЕХНИЧЕСКИЕ",$K228,0)</f>
        <v>0</v>
      </c>
      <c r="V228" s="198">
        <f>IF($H228="ТЕХНОЛОГИЧЕСКИЕ",$K228,0)</f>
        <v>0</v>
      </c>
      <c r="W228" s="198">
        <f>IF($H228="ЛАБОРАТОРНЫЕ",$K228,0)</f>
        <v>0</v>
      </c>
      <c r="X228" s="198">
        <f>IF($H228="СЫРЬЕВЫЕ",$K228,0)</f>
        <v>0</v>
      </c>
      <c r="Y228" s="198">
        <f>IF($H228="ЛОГИСТИЧЕСКИЕ",$K228,0)</f>
        <v>0</v>
      </c>
      <c r="Z228" s="198">
        <f>IF($H228="ОБЩЕЗАВОДСКИЕ",$K228,0)</f>
        <v>0</v>
      </c>
      <c r="AB228" s="200"/>
    </row>
    <row r="229" spans="1:28" ht="13.8" thickBot="1">
      <c r="S229" s="268">
        <f t="shared" ref="S229:Z229" si="44">SUM(S162:S228)</f>
        <v>0</v>
      </c>
      <c r="T229" s="268">
        <f t="shared" si="44"/>
        <v>0</v>
      </c>
      <c r="U229" s="268">
        <f t="shared" si="44"/>
        <v>0</v>
      </c>
      <c r="V229" s="268">
        <f t="shared" si="44"/>
        <v>0</v>
      </c>
      <c r="W229" s="268">
        <f t="shared" si="44"/>
        <v>0</v>
      </c>
      <c r="X229" s="268">
        <f t="shared" si="44"/>
        <v>0</v>
      </c>
      <c r="Y229" s="268">
        <f t="shared" si="44"/>
        <v>0</v>
      </c>
      <c r="Z229" s="268">
        <f t="shared" si="44"/>
        <v>0</v>
      </c>
      <c r="AA229" s="269">
        <f>SUM(S229:Z229)</f>
        <v>0</v>
      </c>
      <c r="AB229" s="200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75" priority="12" stopIfTrue="1">
      <formula>LEN(TRIM(A37))=0</formula>
    </cfRule>
  </conditionalFormatting>
  <conditionalFormatting sqref="A152:F157">
    <cfRule type="containsBlanks" dxfId="74" priority="11" stopIfTrue="1">
      <formula>LEN(TRIM(A152))=0</formula>
    </cfRule>
  </conditionalFormatting>
  <conditionalFormatting sqref="B21:C32">
    <cfRule type="containsBlanks" dxfId="73" priority="13" stopIfTrue="1">
      <formula>LEN(TRIM(B21))=0</formula>
    </cfRule>
  </conditionalFormatting>
  <conditionalFormatting sqref="B136:C147">
    <cfRule type="containsBlanks" dxfId="72" priority="26" stopIfTrue="1">
      <formula>LEN(TRIM(B136))=0</formula>
    </cfRule>
  </conditionalFormatting>
  <conditionalFormatting sqref="D54:F55 H54:J55">
    <cfRule type="containsBlanks" dxfId="71" priority="32" stopIfTrue="1">
      <formula>LEN(TRIM(D54))=0</formula>
    </cfRule>
  </conditionalFormatting>
  <conditionalFormatting sqref="D169:F170">
    <cfRule type="containsBlanks" dxfId="70" priority="24" stopIfTrue="1">
      <formula>LEN(TRIM(D169))=0</formula>
    </cfRule>
  </conditionalFormatting>
  <conditionalFormatting sqref="D63:G65 D66:F67 D68:J69">
    <cfRule type="containsBlanks" dxfId="69" priority="31" stopIfTrue="1">
      <formula>LEN(TRIM(D63))=0</formula>
    </cfRule>
  </conditionalFormatting>
  <conditionalFormatting sqref="D70:G76 D77:F78 D79:J80">
    <cfRule type="containsBlanks" dxfId="68" priority="30" stopIfTrue="1">
      <formula>LEN(TRIM(D70))=0</formula>
    </cfRule>
  </conditionalFormatting>
  <conditionalFormatting sqref="D81:G87 D88:F89 D90:J91">
    <cfRule type="containsBlanks" dxfId="67" priority="29" stopIfTrue="1">
      <formula>LEN(TRIM(D81))=0</formula>
    </cfRule>
  </conditionalFormatting>
  <conditionalFormatting sqref="D162:G168">
    <cfRule type="containsBlanks" dxfId="66" priority="10" stopIfTrue="1">
      <formula>LEN(TRIM(D162))=0</formula>
    </cfRule>
  </conditionalFormatting>
  <conditionalFormatting sqref="D171:G180 D181:F182">
    <cfRule type="containsBlanks" dxfId="65" priority="23" stopIfTrue="1">
      <formula>LEN(TRIM(D171))=0</formula>
    </cfRule>
  </conditionalFormatting>
  <conditionalFormatting sqref="D183:G191 D192:F193">
    <cfRule type="containsBlanks" dxfId="64" priority="22" stopIfTrue="1">
      <formula>LEN(TRIM(D183))=0</formula>
    </cfRule>
  </conditionalFormatting>
  <conditionalFormatting sqref="D194:G202 D203:F204 D205:J206">
    <cfRule type="containsBlanks" dxfId="63" priority="21" stopIfTrue="1">
      <formula>LEN(TRIM(D194))=0</formula>
    </cfRule>
  </conditionalFormatting>
  <conditionalFormatting sqref="D47:J53">
    <cfRule type="containsBlanks" dxfId="62" priority="3" stopIfTrue="1">
      <formula>LEN(TRIM(D47))=0</formula>
    </cfRule>
  </conditionalFormatting>
  <conditionalFormatting sqref="D56:J62">
    <cfRule type="containsBlanks" dxfId="61" priority="1" stopIfTrue="1">
      <formula>LEN(TRIM(D56))=0</formula>
    </cfRule>
  </conditionalFormatting>
  <conditionalFormatting sqref="E21:E32">
    <cfRule type="containsBlanks" dxfId="60" priority="33" stopIfTrue="1">
      <formula>LEN(TRIM(E21))=0</formula>
    </cfRule>
  </conditionalFormatting>
  <conditionalFormatting sqref="E136:E147">
    <cfRule type="containsBlanks" dxfId="59" priority="25" stopIfTrue="1">
      <formula>LEN(TRIM(E136))=0</formula>
    </cfRule>
  </conditionalFormatting>
  <conditionalFormatting sqref="F5:H13">
    <cfRule type="containsBlanks" dxfId="58" priority="5" stopIfTrue="1">
      <formula>LEN(TRIM(F5))=0</formula>
    </cfRule>
  </conditionalFormatting>
  <conditionalFormatting sqref="F120:H128">
    <cfRule type="containsBlanks" dxfId="57" priority="7" stopIfTrue="1">
      <formula>LEN(TRIM(F120))=0</formula>
    </cfRule>
  </conditionalFormatting>
  <conditionalFormatting sqref="G38:G42">
    <cfRule type="containsBlanks" dxfId="56" priority="14" stopIfTrue="1">
      <formula>LEN(TRIM(G38))=0</formula>
    </cfRule>
  </conditionalFormatting>
  <conditionalFormatting sqref="H63:J67">
    <cfRule type="containsBlanks" dxfId="55" priority="17" stopIfTrue="1">
      <formula>LEN(TRIM(H63))=0</formula>
    </cfRule>
  </conditionalFormatting>
  <conditionalFormatting sqref="H70:J78">
    <cfRule type="containsBlanks" dxfId="54" priority="16" stopIfTrue="1">
      <formula>LEN(TRIM(H70))=0</formula>
    </cfRule>
  </conditionalFormatting>
  <conditionalFormatting sqref="H81:J89">
    <cfRule type="containsBlanks" dxfId="53" priority="15" stopIfTrue="1">
      <formula>LEN(TRIM(H81))=0</formula>
    </cfRule>
  </conditionalFormatting>
  <conditionalFormatting sqref="H162:J204">
    <cfRule type="containsBlanks" dxfId="52" priority="8" stopIfTrue="1">
      <formula>LEN(TRIM(H162))=0</formula>
    </cfRule>
  </conditionalFormatting>
  <conditionalFormatting sqref="K5:L9 K10:K13">
    <cfRule type="containsBlanks" dxfId="51" priority="4" stopIfTrue="1">
      <formula>LEN(TRIM(K5))=0</formula>
    </cfRule>
  </conditionalFormatting>
  <conditionalFormatting sqref="K120:L124 K125 K126:L126 K127:K128">
    <cfRule type="containsBlanks" dxfId="50" priority="6" stopIfTrue="1">
      <formula>LEN(TRIM(K120))=0</formula>
    </cfRule>
  </conditionalFormatting>
  <conditionalFormatting sqref="L47:L91">
    <cfRule type="containsBlanks" dxfId="49" priority="2" stopIfTrue="1">
      <formula>LEN(TRIM(L47))=0</formula>
    </cfRule>
  </conditionalFormatting>
  <conditionalFormatting sqref="L162:L206">
    <cfRule type="containsBlanks" dxfId="48" priority="9" stopIfTrue="1">
      <formula>LEN(TRIM(L162))=0</formula>
    </cfRule>
  </conditionalFormatting>
  <conditionalFormatting sqref="O163:O228">
    <cfRule type="containsBlanks" dxfId="47" priority="18" stopIfTrue="1">
      <formula>LEN(TRIM(O163))=0</formula>
    </cfRule>
  </conditionalFormatting>
  <conditionalFormatting sqref="O47:Q51 O52:O113">
    <cfRule type="containsBlanks" dxfId="46" priority="28" stopIfTrue="1">
      <formula>LEN(TRIM(O47))=0</formula>
    </cfRule>
  </conditionalFormatting>
  <conditionalFormatting sqref="O162:Q162">
    <cfRule type="containsBlanks" dxfId="45" priority="20" stopIfTrue="1">
      <formula>LEN(TRIM(O162))=0</formula>
    </cfRule>
  </conditionalFormatting>
  <conditionalFormatting sqref="P52:Q91">
    <cfRule type="containsBlanks" dxfId="44" priority="27" stopIfTrue="1">
      <formula>LEN(TRIM(P52))=0</formula>
    </cfRule>
  </conditionalFormatting>
  <conditionalFormatting sqref="P163:Q206">
    <cfRule type="containsBlanks" dxfId="43" priority="19" stopIfTrue="1">
      <formula>LEN(TRIM(P163))=0</formula>
    </cfRule>
  </conditionalFormatting>
  <dataValidations count="3">
    <dataValidation type="list" showInputMessage="1" showErrorMessage="1" sqref="H218:H226 H185:H193 H47 H196:H204 H103:H111 H81:H89 H70:H78 H92:H100 H207:H215 H165:H182 H50:H67" xr:uid="{4E0D66F1-71E7-4ECF-B9ED-07E8BA409B17}">
      <formula1>$V$3:$V$17</formula1>
    </dataValidation>
    <dataValidation type="list" showInputMessage="1" showErrorMessage="1" sqref="H68:H69 H79:H80 H90:H91 H101:H102 H112:H113 H216:H217 H227:H228 H205:H206 H183:H184 H194:H195" xr:uid="{6CF24343-CF79-44EA-A614-A24518B9203B}">
      <formula1>$V$3:$V$5</formula1>
    </dataValidation>
    <dataValidation type="list" showInputMessage="1" showErrorMessage="1" sqref="H162:H164 H48:H49" xr:uid="{90BF60EA-9D57-4DDF-8D25-EDD43AE16244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C137-B3CB-4658-AC53-EF1640CBD2B0}">
  <dimension ref="A1:AB229"/>
  <sheetViews>
    <sheetView tabSelected="1" topLeftCell="A101" zoomScale="70" zoomScaleNormal="70" workbookViewId="0">
      <selection activeCell="A129" sqref="A129:L129"/>
    </sheetView>
  </sheetViews>
  <sheetFormatPr defaultColWidth="8.19921875" defaultRowHeight="13.2"/>
  <cols>
    <col min="1" max="1" width="20.69921875" style="303" customWidth="1"/>
    <col min="2" max="2" width="9.296875" style="303" customWidth="1"/>
    <col min="3" max="3" width="10.19921875" style="303" customWidth="1"/>
    <col min="4" max="4" width="12.8984375" style="303" customWidth="1"/>
    <col min="5" max="5" width="10.5" style="303" customWidth="1"/>
    <col min="6" max="6" width="23.5" style="303" customWidth="1"/>
    <col min="7" max="7" width="16.5" style="303" customWidth="1"/>
    <col min="8" max="8" width="24" style="303" customWidth="1"/>
    <col min="9" max="9" width="21.19921875" style="303" customWidth="1"/>
    <col min="10" max="10" width="21.5" style="303" customWidth="1"/>
    <col min="11" max="11" width="22" style="303" customWidth="1"/>
    <col min="12" max="12" width="20.59765625" style="303" customWidth="1"/>
    <col min="13" max="13" width="6.296875" style="303" customWidth="1"/>
    <col min="14" max="14" width="9.296875" style="303" customWidth="1"/>
    <col min="15" max="15" width="13.8984375" style="303" customWidth="1"/>
    <col min="16" max="16" width="11.59765625" style="303" customWidth="1"/>
    <col min="17" max="17" width="11.3984375" style="303" customWidth="1"/>
    <col min="18" max="21" width="6.59765625" style="303" customWidth="1"/>
    <col min="22" max="27" width="7.796875" style="303" customWidth="1"/>
    <col min="28" max="31" width="13.796875" style="303" customWidth="1"/>
    <col min="32" max="32" width="14.5" style="303" customWidth="1"/>
    <col min="33" max="33" width="19.5" style="303" customWidth="1"/>
    <col min="34" max="34" width="12" style="303" customWidth="1"/>
    <col min="35" max="16384" width="8.19921875" style="303"/>
  </cols>
  <sheetData>
    <row r="1" spans="1:24" ht="15">
      <c r="A1" s="301" t="s">
        <v>0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2"/>
      <c r="S1" s="302"/>
      <c r="T1" s="302"/>
      <c r="U1" s="302"/>
    </row>
    <row r="2" spans="1:24" ht="15.6" thickBot="1">
      <c r="A2" s="304" t="s">
        <v>140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5"/>
      <c r="S2" s="305"/>
      <c r="T2" s="305"/>
      <c r="U2" s="305"/>
    </row>
    <row r="3" spans="1:24" ht="18" thickBot="1">
      <c r="A3" s="6" t="s">
        <v>2</v>
      </c>
      <c r="B3" s="7"/>
      <c r="C3" s="7"/>
      <c r="D3" s="7"/>
      <c r="E3" s="8"/>
      <c r="F3" s="9" t="s">
        <v>3</v>
      </c>
      <c r="G3" s="10">
        <f>SUM(J21:J32)+SUM(J136:J147)</f>
        <v>19066.666666666661</v>
      </c>
      <c r="H3" s="10">
        <f>SUM(K21:K32)+SUM(K136:K147)</f>
        <v>11932</v>
      </c>
      <c r="I3" s="306" t="s">
        <v>4</v>
      </c>
      <c r="J3" s="307">
        <v>2200</v>
      </c>
      <c r="K3" s="308" t="s">
        <v>5</v>
      </c>
      <c r="L3" s="309">
        <v>720</v>
      </c>
    </row>
    <row r="4" spans="1:24" ht="20.25" customHeight="1">
      <c r="A4" s="295" t="s">
        <v>7</v>
      </c>
      <c r="B4" s="295"/>
      <c r="C4" s="295"/>
      <c r="D4" s="295"/>
      <c r="E4" s="295"/>
      <c r="F4" s="295" t="s">
        <v>8</v>
      </c>
      <c r="G4" s="295"/>
      <c r="H4" s="295"/>
      <c r="I4" s="295" t="s">
        <v>9</v>
      </c>
      <c r="J4" s="295"/>
      <c r="K4" s="295" t="s">
        <v>10</v>
      </c>
      <c r="L4" s="295"/>
      <c r="M4" s="310"/>
      <c r="N4" s="311" t="s">
        <v>11</v>
      </c>
      <c r="O4" s="312"/>
      <c r="P4" s="312"/>
      <c r="Q4" s="312"/>
      <c r="R4" s="312"/>
      <c r="S4" s="312"/>
      <c r="T4" s="312"/>
      <c r="U4" s="313"/>
      <c r="X4" s="314"/>
    </row>
    <row r="5" spans="1:24" ht="13.8">
      <c r="A5" s="27" t="s">
        <v>13</v>
      </c>
      <c r="B5" s="28"/>
      <c r="C5" s="28"/>
      <c r="D5" s="28"/>
      <c r="E5" s="28"/>
      <c r="F5" s="296" t="s">
        <v>14</v>
      </c>
      <c r="G5" s="296"/>
      <c r="H5" s="296"/>
      <c r="I5" s="297" t="s">
        <v>15</v>
      </c>
      <c r="J5" s="297" t="s">
        <v>15</v>
      </c>
      <c r="K5" s="296" t="s">
        <v>141</v>
      </c>
      <c r="L5" s="296"/>
      <c r="N5" s="33"/>
      <c r="O5" s="34" t="s">
        <v>17</v>
      </c>
      <c r="P5" s="35"/>
      <c r="Q5" s="35"/>
      <c r="R5" s="36"/>
      <c r="S5" s="36"/>
      <c r="T5" s="36"/>
      <c r="U5" s="315"/>
      <c r="X5" s="316"/>
    </row>
    <row r="6" spans="1:24" ht="13.8">
      <c r="A6" s="27" t="s">
        <v>19</v>
      </c>
      <c r="B6" s="28"/>
      <c r="C6" s="28"/>
      <c r="D6" s="28"/>
      <c r="E6" s="29"/>
      <c r="F6" s="296" t="s">
        <v>20</v>
      </c>
      <c r="G6" s="296"/>
      <c r="H6" s="296"/>
      <c r="I6" s="297" t="s">
        <v>21</v>
      </c>
      <c r="J6" s="297" t="s">
        <v>21</v>
      </c>
      <c r="K6" s="296" t="s">
        <v>142</v>
      </c>
      <c r="L6" s="296"/>
      <c r="N6" s="38"/>
      <c r="O6" s="39"/>
      <c r="P6" s="40"/>
      <c r="Q6" s="40"/>
      <c r="R6" s="41"/>
      <c r="S6" s="41"/>
      <c r="T6" s="41"/>
      <c r="U6" s="317"/>
      <c r="X6" s="316"/>
    </row>
    <row r="7" spans="1:24" ht="16.5" customHeight="1">
      <c r="A7" s="318" t="s">
        <v>24</v>
      </c>
      <c r="B7" s="297"/>
      <c r="C7" s="297"/>
      <c r="D7" s="297"/>
      <c r="E7" s="42"/>
      <c r="F7" s="296" t="s">
        <v>25</v>
      </c>
      <c r="G7" s="296"/>
      <c r="H7" s="296"/>
      <c r="I7" s="297" t="s">
        <v>114</v>
      </c>
      <c r="J7" s="297" t="s">
        <v>114</v>
      </c>
      <c r="K7" s="296" t="s">
        <v>143</v>
      </c>
      <c r="L7" s="296"/>
      <c r="N7" s="43"/>
      <c r="O7" s="34" t="s">
        <v>28</v>
      </c>
      <c r="P7" s="35"/>
      <c r="Q7" s="44"/>
      <c r="R7" s="45"/>
      <c r="S7" s="45"/>
      <c r="T7" s="45"/>
      <c r="U7" s="315"/>
      <c r="X7" s="316"/>
    </row>
    <row r="8" spans="1:24" ht="16.5" customHeight="1" thickBot="1">
      <c r="A8" s="297"/>
      <c r="B8" s="297"/>
      <c r="C8" s="297"/>
      <c r="D8" s="297"/>
      <c r="E8" s="297"/>
      <c r="F8" s="296"/>
      <c r="G8" s="296"/>
      <c r="H8" s="296"/>
      <c r="I8" s="297" t="s">
        <v>123</v>
      </c>
      <c r="J8" s="297" t="s">
        <v>123</v>
      </c>
      <c r="K8" s="296" t="s">
        <v>144</v>
      </c>
      <c r="L8" s="296"/>
      <c r="N8" s="319"/>
      <c r="O8" s="320"/>
      <c r="P8" s="321"/>
      <c r="Q8" s="322"/>
      <c r="R8" s="323"/>
      <c r="S8" s="323"/>
      <c r="T8" s="323"/>
      <c r="U8" s="324"/>
      <c r="X8" s="316"/>
    </row>
    <row r="9" spans="1:24" ht="13.8">
      <c r="A9" s="297"/>
      <c r="B9" s="297"/>
      <c r="C9" s="297"/>
      <c r="D9" s="297"/>
      <c r="E9" s="297"/>
      <c r="F9" s="296"/>
      <c r="G9" s="296"/>
      <c r="H9" s="296"/>
      <c r="I9" s="297" t="s">
        <v>123</v>
      </c>
      <c r="J9" s="297" t="s">
        <v>123</v>
      </c>
      <c r="K9" s="296"/>
      <c r="L9" s="296"/>
      <c r="N9" s="273"/>
      <c r="O9" s="273"/>
      <c r="P9" s="274"/>
      <c r="Q9" s="274"/>
      <c r="R9" s="275"/>
      <c r="S9" s="275"/>
      <c r="T9" s="275"/>
      <c r="U9" s="275"/>
      <c r="X9" s="316"/>
    </row>
    <row r="10" spans="1:24" ht="14.4" customHeight="1">
      <c r="A10" s="297"/>
      <c r="B10" s="297"/>
      <c r="C10" s="297"/>
      <c r="D10" s="297"/>
      <c r="E10" s="297"/>
      <c r="F10" s="296"/>
      <c r="G10" s="296"/>
      <c r="H10" s="296"/>
      <c r="I10" s="42" t="s">
        <v>119</v>
      </c>
      <c r="J10" s="29" t="s">
        <v>119</v>
      </c>
      <c r="K10" s="276" t="s">
        <v>145</v>
      </c>
      <c r="L10" s="277"/>
      <c r="N10" s="278"/>
      <c r="O10" s="278"/>
      <c r="P10" s="275"/>
      <c r="Q10" s="275"/>
      <c r="R10" s="275"/>
      <c r="S10" s="275"/>
      <c r="T10" s="275"/>
      <c r="U10" s="275"/>
      <c r="X10" s="316"/>
    </row>
    <row r="11" spans="1:24" ht="14.4" customHeight="1">
      <c r="A11" s="297"/>
      <c r="B11" s="297"/>
      <c r="C11" s="297"/>
      <c r="D11" s="297"/>
      <c r="E11" s="297"/>
      <c r="F11" s="296"/>
      <c r="G11" s="296"/>
      <c r="H11" s="296"/>
      <c r="I11" s="42" t="s">
        <v>146</v>
      </c>
      <c r="J11" s="29" t="s">
        <v>146</v>
      </c>
      <c r="K11" s="276" t="s">
        <v>147</v>
      </c>
      <c r="L11" s="277"/>
      <c r="N11" s="278"/>
      <c r="O11" s="278"/>
      <c r="P11" s="275"/>
      <c r="Q11" s="275"/>
      <c r="R11" s="275"/>
      <c r="S11" s="275"/>
      <c r="T11" s="275"/>
      <c r="U11" s="275"/>
      <c r="X11" s="316"/>
    </row>
    <row r="12" spans="1:24" ht="14.4" customHeight="1">
      <c r="A12" s="297"/>
      <c r="B12" s="297"/>
      <c r="C12" s="297"/>
      <c r="D12" s="297"/>
      <c r="E12" s="297"/>
      <c r="F12" s="296"/>
      <c r="G12" s="296"/>
      <c r="H12" s="296"/>
      <c r="I12" s="297" t="s">
        <v>125</v>
      </c>
      <c r="J12" s="297"/>
      <c r="K12" s="276" t="s">
        <v>148</v>
      </c>
      <c r="L12" s="277"/>
      <c r="N12" s="278"/>
      <c r="O12" s="278"/>
      <c r="P12" s="275"/>
      <c r="Q12" s="275"/>
      <c r="R12" s="275"/>
      <c r="S12" s="275"/>
      <c r="T12" s="275"/>
      <c r="U12" s="275"/>
      <c r="X12" s="316"/>
    </row>
    <row r="13" spans="1:24" ht="14.4" customHeight="1" thickBot="1">
      <c r="A13" s="297"/>
      <c r="B13" s="297"/>
      <c r="C13" s="297"/>
      <c r="D13" s="297"/>
      <c r="E13" s="297"/>
      <c r="F13" s="296"/>
      <c r="G13" s="296"/>
      <c r="H13" s="296"/>
      <c r="I13" s="297"/>
      <c r="J13" s="297"/>
      <c r="K13" s="276"/>
      <c r="L13" s="277"/>
      <c r="N13" s="278"/>
      <c r="O13" s="278"/>
      <c r="P13" s="275"/>
      <c r="Q13" s="275"/>
      <c r="R13" s="275"/>
      <c r="S13" s="275"/>
      <c r="T13" s="275"/>
      <c r="U13" s="275"/>
      <c r="X13" s="316"/>
    </row>
    <row r="14" spans="1:24" ht="18.75" customHeight="1" thickBot="1">
      <c r="A14" s="55" t="s">
        <v>38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7"/>
      <c r="N14" s="58" t="s">
        <v>39</v>
      </c>
      <c r="O14" s="59"/>
      <c r="P14" s="59"/>
      <c r="Q14" s="59"/>
      <c r="R14" s="59"/>
      <c r="S14" s="59"/>
      <c r="T14" s="59"/>
      <c r="U14" s="59"/>
      <c r="V14" s="60"/>
      <c r="X14" s="316"/>
    </row>
    <row r="15" spans="1:24" ht="8.25" customHeight="1">
      <c r="A15" s="61" t="s">
        <v>41</v>
      </c>
      <c r="B15" s="61" t="s">
        <v>42</v>
      </c>
      <c r="C15" s="61" t="s">
        <v>43</v>
      </c>
      <c r="D15" s="61" t="s">
        <v>44</v>
      </c>
      <c r="E15" s="61" t="s">
        <v>45</v>
      </c>
      <c r="F15" s="61" t="s">
        <v>46</v>
      </c>
      <c r="G15" s="61" t="s">
        <v>47</v>
      </c>
      <c r="H15" s="61" t="s">
        <v>48</v>
      </c>
      <c r="I15" s="61" t="s">
        <v>49</v>
      </c>
      <c r="J15" s="61" t="s">
        <v>50</v>
      </c>
      <c r="K15" s="61" t="s">
        <v>51</v>
      </c>
      <c r="L15" s="121" t="s">
        <v>52</v>
      </c>
      <c r="N15" s="62" t="s">
        <v>53</v>
      </c>
      <c r="O15" s="62"/>
      <c r="P15" s="63" t="s">
        <v>54</v>
      </c>
      <c r="Q15" s="64"/>
      <c r="R15" s="64"/>
      <c r="S15" s="64"/>
      <c r="T15" s="64"/>
      <c r="U15" s="65"/>
      <c r="V15" s="62" t="s">
        <v>55</v>
      </c>
      <c r="X15" s="316"/>
    </row>
    <row r="16" spans="1:24" ht="12.75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131"/>
      <c r="N16" s="62"/>
      <c r="O16" s="62"/>
      <c r="P16" s="67"/>
      <c r="Q16" s="68"/>
      <c r="R16" s="68"/>
      <c r="S16" s="68"/>
      <c r="T16" s="68"/>
      <c r="U16" s="69"/>
      <c r="V16" s="62"/>
      <c r="X16" s="316"/>
    </row>
    <row r="17" spans="1:24" ht="12.75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131"/>
      <c r="N17" s="62"/>
      <c r="O17" s="62"/>
      <c r="P17" s="67"/>
      <c r="Q17" s="68"/>
      <c r="R17" s="68"/>
      <c r="S17" s="68"/>
      <c r="T17" s="68"/>
      <c r="U17" s="69"/>
      <c r="V17" s="62"/>
      <c r="X17" s="316"/>
    </row>
    <row r="18" spans="1:24" ht="3.75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131"/>
      <c r="N18" s="62"/>
      <c r="O18" s="62"/>
      <c r="P18" s="70"/>
      <c r="Q18" s="71"/>
      <c r="R18" s="71"/>
      <c r="S18" s="71"/>
      <c r="T18" s="71"/>
      <c r="U18" s="72"/>
      <c r="V18" s="62"/>
      <c r="X18" s="316"/>
    </row>
    <row r="19" spans="1:24" ht="45.75" customHeight="1" thickBot="1">
      <c r="A19" s="66"/>
      <c r="B19" s="66"/>
      <c r="C19" s="66"/>
      <c r="D19" s="73"/>
      <c r="E19" s="73"/>
      <c r="F19" s="73"/>
      <c r="G19" s="73"/>
      <c r="H19" s="73"/>
      <c r="I19" s="73"/>
      <c r="J19" s="73"/>
      <c r="K19" s="73"/>
      <c r="L19" s="131"/>
      <c r="M19" s="325"/>
      <c r="N19" s="75" t="s">
        <v>56</v>
      </c>
      <c r="O19" s="75"/>
      <c r="P19" s="76">
        <f>SUM(S47:S58)</f>
        <v>132.00000000000009</v>
      </c>
      <c r="Q19" s="76">
        <f>SUM(S59:S69)</f>
        <v>57.999999999999957</v>
      </c>
      <c r="R19" s="76">
        <f>SUM(S70:S80)</f>
        <v>10.000000000000124</v>
      </c>
      <c r="S19" s="76">
        <f>SUM(S81:S91)</f>
        <v>0</v>
      </c>
      <c r="T19" s="76">
        <f>SUM(S92:S102)</f>
        <v>0</v>
      </c>
      <c r="U19" s="76">
        <f>SUM(S103:S113)</f>
        <v>0</v>
      </c>
      <c r="V19" s="77">
        <f t="shared" ref="V19:V26" si="0">P19+Q19+R19+S19+T19+U19</f>
        <v>200.00000000000017</v>
      </c>
      <c r="X19" s="275"/>
    </row>
    <row r="20" spans="1:24" ht="14.4" customHeight="1" thickBot="1">
      <c r="A20" s="78"/>
      <c r="B20" s="78"/>
      <c r="C20" s="78"/>
      <c r="D20" s="79" t="s">
        <v>57</v>
      </c>
      <c r="E20" s="79" t="s">
        <v>58</v>
      </c>
      <c r="F20" s="79" t="s">
        <v>57</v>
      </c>
      <c r="G20" s="79"/>
      <c r="H20" s="79" t="s">
        <v>57</v>
      </c>
      <c r="I20" s="79"/>
      <c r="J20" s="79" t="s">
        <v>59</v>
      </c>
      <c r="K20" s="79" t="s">
        <v>59</v>
      </c>
      <c r="L20" s="326" t="s">
        <v>60</v>
      </c>
      <c r="N20" s="82" t="s">
        <v>61</v>
      </c>
      <c r="O20" s="82"/>
      <c r="P20" s="76">
        <f>SUM(T46:T57)</f>
        <v>0</v>
      </c>
      <c r="Q20" s="76">
        <f>SUM(T58:T68)</f>
        <v>0</v>
      </c>
      <c r="R20" s="76">
        <f>SUM(T69:T79)</f>
        <v>0</v>
      </c>
      <c r="S20" s="76">
        <f>SUM(T80:T90)</f>
        <v>0</v>
      </c>
      <c r="T20" s="76">
        <f>SUM(T91:T101)</f>
        <v>0</v>
      </c>
      <c r="U20" s="76">
        <f>SUM(T102:T112)</f>
        <v>0</v>
      </c>
      <c r="V20" s="77">
        <f t="shared" si="0"/>
        <v>0</v>
      </c>
      <c r="X20" s="275"/>
    </row>
    <row r="21" spans="1:24" ht="17.25" customHeight="1">
      <c r="A21" s="61" t="str">
        <f>A37</f>
        <v xml:space="preserve">Гренадин </v>
      </c>
      <c r="B21" s="83">
        <v>0.33333333333333331</v>
      </c>
      <c r="C21" s="83">
        <v>0.58819444444444446</v>
      </c>
      <c r="D21" s="84">
        <f>(C21-B21+(C21&lt;B21))*24*60</f>
        <v>367</v>
      </c>
      <c r="E21" s="85">
        <v>2200</v>
      </c>
      <c r="F21" s="86">
        <f>IF(E21=0,0,(F37/J3*60))</f>
        <v>139.63636363636363</v>
      </c>
      <c r="G21" s="87">
        <f>IF($K21=0,0,(K21*100)/(D21*$J$3/60))</f>
        <v>38.048055486747586</v>
      </c>
      <c r="H21" s="86">
        <f>P19+P26</f>
        <v>132.00000000000009</v>
      </c>
      <c r="I21" s="87">
        <f>D21-F21-P27</f>
        <v>-1.6363636363637681</v>
      </c>
      <c r="J21" s="84">
        <f>(D21-H21)/60*E21</f>
        <v>8616.6666666666642</v>
      </c>
      <c r="K21" s="279">
        <f>F37</f>
        <v>5120</v>
      </c>
      <c r="L21" s="327">
        <f>IF($K21=0,0,K21/J21)</f>
        <v>0.59419729206963268</v>
      </c>
      <c r="N21" s="82" t="s">
        <v>62</v>
      </c>
      <c r="O21" s="82"/>
      <c r="P21" s="76">
        <f>SUM(U46:U57)</f>
        <v>97.000000000000057</v>
      </c>
      <c r="Q21" s="76">
        <f>SUM(U58:U68)</f>
        <v>42.000000000000014</v>
      </c>
      <c r="R21" s="76">
        <f>SUM(U69:U79)</f>
        <v>0</v>
      </c>
      <c r="S21" s="76">
        <f>SUM(U80:U90)</f>
        <v>0</v>
      </c>
      <c r="T21" s="76">
        <f>SUM(U91:U101)</f>
        <v>0</v>
      </c>
      <c r="U21" s="76">
        <f>SUM(U102:U112)</f>
        <v>0</v>
      </c>
      <c r="V21" s="77">
        <f t="shared" si="0"/>
        <v>139.00000000000006</v>
      </c>
      <c r="W21" s="275"/>
      <c r="X21" s="275"/>
    </row>
    <row r="22" spans="1:24" ht="17.25" customHeight="1" thickBot="1">
      <c r="A22" s="78"/>
      <c r="B22" s="90"/>
      <c r="C22" s="90"/>
      <c r="D22" s="91"/>
      <c r="E22" s="92"/>
      <c r="F22" s="93"/>
      <c r="G22" s="94"/>
      <c r="H22" s="93"/>
      <c r="I22" s="94"/>
      <c r="J22" s="91"/>
      <c r="K22" s="280"/>
      <c r="L22" s="328">
        <f>K21-J21</f>
        <v>-3496.6666666666642</v>
      </c>
      <c r="N22" s="82" t="s">
        <v>63</v>
      </c>
      <c r="O22" s="82"/>
      <c r="P22" s="76">
        <f>SUM(V46:V57)</f>
        <v>0</v>
      </c>
      <c r="Q22" s="76">
        <f>SUM(V58:V68)</f>
        <v>0</v>
      </c>
      <c r="R22" s="76">
        <f>SUM(V69:V79)</f>
        <v>34.999999999999872</v>
      </c>
      <c r="S22" s="76">
        <f>SUM(V80:V90)</f>
        <v>0</v>
      </c>
      <c r="T22" s="76">
        <f>SUM(V91:V101)</f>
        <v>0</v>
      </c>
      <c r="U22" s="76">
        <f>SUM(V102:V112)</f>
        <v>0</v>
      </c>
      <c r="V22" s="77">
        <f t="shared" si="0"/>
        <v>34.999999999999872</v>
      </c>
      <c r="W22" s="275"/>
      <c r="X22" s="275"/>
    </row>
    <row r="23" spans="1:24" ht="17.25" customHeight="1">
      <c r="A23" s="61" t="str">
        <f>A38</f>
        <v>Кокос</v>
      </c>
      <c r="B23" s="83">
        <v>0.58819444444444446</v>
      </c>
      <c r="C23" s="83">
        <v>0.75694444444444453</v>
      </c>
      <c r="D23" s="84">
        <f>(C23-B23+(C23&lt;B23))*24*60</f>
        <v>243.00000000000009</v>
      </c>
      <c r="E23" s="85">
        <v>2200</v>
      </c>
      <c r="F23" s="86">
        <f>IF(E23=0,0,(F38/J3*60))</f>
        <v>131.23636363636365</v>
      </c>
      <c r="G23" s="87">
        <f>IF($K23=0,0,(K23*100)/(D23*$J$3/60))</f>
        <v>54.006734006733986</v>
      </c>
      <c r="H23" s="86">
        <f>Q19+Q26</f>
        <v>57.999999999999957</v>
      </c>
      <c r="I23" s="87">
        <f>D23-F23-Q27</f>
        <v>1.7636363636364933</v>
      </c>
      <c r="J23" s="84">
        <f>(D23-H23)/60*E23</f>
        <v>6783.3333333333376</v>
      </c>
      <c r="K23" s="279">
        <f>F38</f>
        <v>4812</v>
      </c>
      <c r="L23" s="329">
        <f>IF($K23=0,0,K23/J23)</f>
        <v>0.70938574938574894</v>
      </c>
      <c r="N23" s="82" t="s">
        <v>64</v>
      </c>
      <c r="O23" s="82"/>
      <c r="P23" s="76">
        <f>SUM(W46:W57)</f>
        <v>0</v>
      </c>
      <c r="Q23" s="76">
        <f>SUM(W58:W68)</f>
        <v>9.9999999999999645</v>
      </c>
      <c r="R23" s="76">
        <f>SUM(W69:W79)</f>
        <v>9.9999999999998046</v>
      </c>
      <c r="S23" s="76">
        <f>SUM(W80:W90)</f>
        <v>0</v>
      </c>
      <c r="T23" s="76">
        <f>SUM(W91:W101)</f>
        <v>0</v>
      </c>
      <c r="U23" s="76">
        <f>SUM(W102:W112)</f>
        <v>0</v>
      </c>
      <c r="V23" s="77">
        <f t="shared" si="0"/>
        <v>19.999999999999769</v>
      </c>
      <c r="W23" s="275"/>
      <c r="X23" s="275"/>
    </row>
    <row r="24" spans="1:24" ht="16.95" customHeight="1" thickBot="1">
      <c r="A24" s="78"/>
      <c r="B24" s="90"/>
      <c r="C24" s="90"/>
      <c r="D24" s="91"/>
      <c r="E24" s="92"/>
      <c r="F24" s="93"/>
      <c r="G24" s="94"/>
      <c r="H24" s="93"/>
      <c r="I24" s="94"/>
      <c r="J24" s="91"/>
      <c r="K24" s="280"/>
      <c r="L24" s="328">
        <f>K23-J23</f>
        <v>-1971.3333333333376</v>
      </c>
      <c r="N24" s="98" t="s">
        <v>65</v>
      </c>
      <c r="O24" s="98"/>
      <c r="P24" s="76">
        <f>SUM(X46:X57)</f>
        <v>0</v>
      </c>
      <c r="Q24" s="76">
        <f>SUM(X58:X68)</f>
        <v>0</v>
      </c>
      <c r="R24" s="76">
        <f>SUM(X69:X79)</f>
        <v>0</v>
      </c>
      <c r="S24" s="76">
        <f>SUM(X80:X90)</f>
        <v>0</v>
      </c>
      <c r="T24" s="76">
        <f>SUM(X91:X101)</f>
        <v>0</v>
      </c>
      <c r="U24" s="76">
        <f>SUM(X102:X112)</f>
        <v>0</v>
      </c>
      <c r="V24" s="77">
        <f t="shared" si="0"/>
        <v>0</v>
      </c>
      <c r="W24" s="275"/>
      <c r="X24" s="275"/>
    </row>
    <row r="25" spans="1:24" ht="16.95" customHeight="1" collapsed="1">
      <c r="A25" s="61" t="str">
        <f>A39</f>
        <v>Мохито</v>
      </c>
      <c r="B25" s="83">
        <v>0.75694444444444453</v>
      </c>
      <c r="C25" s="83">
        <v>0.83333333333333337</v>
      </c>
      <c r="D25" s="84">
        <f>(C25-B25+(C25&lt;B25))*24*60</f>
        <v>109.99999999999993</v>
      </c>
      <c r="E25" s="85">
        <v>2200</v>
      </c>
      <c r="F25" s="86">
        <f>IF(E25=0,0,(F39/J3*60))</f>
        <v>54.545454545454547</v>
      </c>
      <c r="G25" s="87">
        <f>IF($K25=0,0,(K25*100)/(D25*$J$3/60))</f>
        <v>49.586776859504162</v>
      </c>
      <c r="H25" s="86">
        <f>R19+R26</f>
        <v>10.000000000000124</v>
      </c>
      <c r="I25" s="87">
        <f>D25-F25-R27</f>
        <v>0.45454545454558115</v>
      </c>
      <c r="J25" s="84">
        <f>(D25-H25)/60*E25</f>
        <v>3666.6666666666597</v>
      </c>
      <c r="K25" s="279">
        <f>F39</f>
        <v>2000</v>
      </c>
      <c r="L25" s="327">
        <f>IF($K25=0,0,K25/J25)</f>
        <v>0.54545454545454652</v>
      </c>
      <c r="N25" s="98" t="s">
        <v>66</v>
      </c>
      <c r="O25" s="98"/>
      <c r="P25" s="76">
        <f>SUM(Y46:Y57)</f>
        <v>0</v>
      </c>
      <c r="Q25" s="76">
        <f>SUM(Y58:Y68)</f>
        <v>0</v>
      </c>
      <c r="R25" s="76">
        <f>SUM(Y69:Y79)</f>
        <v>0</v>
      </c>
      <c r="S25" s="76">
        <f>SUM(Y80:Y90)</f>
        <v>0</v>
      </c>
      <c r="T25" s="76">
        <f>SUM(Y91:Y101)</f>
        <v>0</v>
      </c>
      <c r="U25" s="76">
        <f>SUM(Y102:Y112)</f>
        <v>0</v>
      </c>
      <c r="V25" s="77">
        <f t="shared" si="0"/>
        <v>0</v>
      </c>
      <c r="W25" s="275"/>
      <c r="X25" s="275"/>
    </row>
    <row r="26" spans="1:24" ht="16.95" customHeight="1" thickBot="1">
      <c r="A26" s="78"/>
      <c r="B26" s="90"/>
      <c r="C26" s="90"/>
      <c r="D26" s="91"/>
      <c r="E26" s="92"/>
      <c r="F26" s="93"/>
      <c r="G26" s="94"/>
      <c r="H26" s="93"/>
      <c r="I26" s="94"/>
      <c r="J26" s="91"/>
      <c r="K26" s="280"/>
      <c r="L26" s="328">
        <f>K25-J25</f>
        <v>-1666.6666666666597</v>
      </c>
      <c r="N26" s="99" t="s">
        <v>67</v>
      </c>
      <c r="O26" s="99"/>
      <c r="P26" s="76">
        <f>SUM(Z46:Z57)</f>
        <v>0</v>
      </c>
      <c r="Q26" s="76">
        <f>SUM(Z58:Z68)</f>
        <v>0</v>
      </c>
      <c r="R26" s="76">
        <f>SUM(Z69:Z79)</f>
        <v>0</v>
      </c>
      <c r="S26" s="76">
        <f>SUM(Z80:Z90)</f>
        <v>0</v>
      </c>
      <c r="T26" s="76">
        <f>SUM(Z91:Z101)</f>
        <v>0</v>
      </c>
      <c r="U26" s="76">
        <f>SUM(Z102:Z112)</f>
        <v>0</v>
      </c>
      <c r="V26" s="77">
        <f t="shared" si="0"/>
        <v>0</v>
      </c>
      <c r="W26" s="275"/>
      <c r="X26" s="275"/>
    </row>
    <row r="27" spans="1:24" ht="16.95" customHeight="1" collapsed="1">
      <c r="A27" s="66">
        <f>A40</f>
        <v>0</v>
      </c>
      <c r="B27" s="100"/>
      <c r="C27" s="100"/>
      <c r="D27" s="101">
        <f>(C27-B27+(C27&lt;B27))*24*60</f>
        <v>0</v>
      </c>
      <c r="E27" s="102"/>
      <c r="F27" s="103">
        <f>IF(E27=0,0,(F40/J3*60))</f>
        <v>0</v>
      </c>
      <c r="G27" s="87">
        <f>IF($K27=0,0,(K27*100)/(D27*$J$3/60))</f>
        <v>0</v>
      </c>
      <c r="H27" s="103">
        <f>S19+S26</f>
        <v>0</v>
      </c>
      <c r="I27" s="104">
        <f>D27-F27-S27</f>
        <v>0</v>
      </c>
      <c r="J27" s="101">
        <f>(D27-H27)/60*E27</f>
        <v>0</v>
      </c>
      <c r="K27" s="279">
        <f>F40</f>
        <v>0</v>
      </c>
      <c r="L27" s="327">
        <f>IF($K27=0,0,K27/J27)</f>
        <v>0</v>
      </c>
      <c r="N27" s="105" t="s">
        <v>68</v>
      </c>
      <c r="O27" s="105"/>
      <c r="P27" s="77">
        <f t="shared" ref="P27:U27" si="1">SUM(P18:P26)</f>
        <v>229.00000000000014</v>
      </c>
      <c r="Q27" s="77">
        <f t="shared" si="1"/>
        <v>109.99999999999994</v>
      </c>
      <c r="R27" s="77">
        <f t="shared" si="1"/>
        <v>54.999999999999801</v>
      </c>
      <c r="S27" s="77">
        <f t="shared" si="1"/>
        <v>0</v>
      </c>
      <c r="T27" s="77">
        <f t="shared" si="1"/>
        <v>0</v>
      </c>
      <c r="U27" s="77">
        <f t="shared" si="1"/>
        <v>0</v>
      </c>
      <c r="V27" s="77">
        <f>P27+Q27+R27+S27+T27+U27</f>
        <v>393.99999999999989</v>
      </c>
      <c r="W27" s="275"/>
      <c r="X27" s="275"/>
    </row>
    <row r="28" spans="1:24" ht="16.95" customHeight="1" thickBot="1">
      <c r="A28" s="78"/>
      <c r="B28" s="90"/>
      <c r="C28" s="90"/>
      <c r="D28" s="91"/>
      <c r="E28" s="92"/>
      <c r="F28" s="93"/>
      <c r="G28" s="94"/>
      <c r="H28" s="93"/>
      <c r="I28" s="94"/>
      <c r="J28" s="91"/>
      <c r="K28" s="280"/>
      <c r="L28" s="328">
        <f>K27-J27</f>
        <v>0</v>
      </c>
      <c r="N28" s="105"/>
      <c r="O28" s="105"/>
      <c r="P28" s="77"/>
      <c r="Q28" s="77"/>
      <c r="R28" s="77"/>
      <c r="S28" s="77"/>
      <c r="T28" s="77"/>
      <c r="U28" s="77"/>
      <c r="V28" s="77"/>
      <c r="W28" s="275"/>
      <c r="X28" s="275"/>
    </row>
    <row r="29" spans="1:24" ht="16.95" customHeight="1">
      <c r="A29" s="61">
        <f>A41</f>
        <v>0</v>
      </c>
      <c r="B29" s="83"/>
      <c r="C29" s="83"/>
      <c r="D29" s="84">
        <f>(C29-B29+(C29&lt;B29))*24*60</f>
        <v>0</v>
      </c>
      <c r="E29" s="85"/>
      <c r="F29" s="86">
        <f>IF(E29=0,0,(F41/J3*60))</f>
        <v>0</v>
      </c>
      <c r="G29" s="87">
        <f>IF($K29=0,0,(K29*100)/(D29*$J$3/60))</f>
        <v>0</v>
      </c>
      <c r="H29" s="86">
        <f>T19+T26</f>
        <v>0</v>
      </c>
      <c r="I29" s="87">
        <f>D29-F29-T27</f>
        <v>0</v>
      </c>
      <c r="J29" s="84">
        <f>(D29-H29)/60*E29</f>
        <v>0</v>
      </c>
      <c r="K29" s="279">
        <f>F41</f>
        <v>0</v>
      </c>
      <c r="L29" s="327">
        <f>IF($K29=0,0,K29/J29)</f>
        <v>0</v>
      </c>
      <c r="V29" s="275"/>
      <c r="W29" s="275"/>
      <c r="X29" s="275"/>
    </row>
    <row r="30" spans="1:24" ht="16.95" customHeight="1" thickBot="1">
      <c r="A30" s="78"/>
      <c r="B30" s="90"/>
      <c r="C30" s="90"/>
      <c r="D30" s="91"/>
      <c r="E30" s="92"/>
      <c r="F30" s="93"/>
      <c r="G30" s="94"/>
      <c r="H30" s="93"/>
      <c r="I30" s="94"/>
      <c r="J30" s="91"/>
      <c r="K30" s="280"/>
      <c r="L30" s="328">
        <f>K29-J29</f>
        <v>0</v>
      </c>
      <c r="V30" s="275"/>
      <c r="W30" s="275"/>
      <c r="X30" s="275"/>
    </row>
    <row r="31" spans="1:24" ht="16.95" customHeight="1">
      <c r="A31" s="61">
        <f>A42</f>
        <v>0</v>
      </c>
      <c r="B31" s="83"/>
      <c r="C31" s="83"/>
      <c r="D31" s="84">
        <f>(C31-B31+(C31&lt;B31))*24*60</f>
        <v>0</v>
      </c>
      <c r="E31" s="85"/>
      <c r="F31" s="86">
        <f>IF(E31=0,0,(F42/J3*60))</f>
        <v>0</v>
      </c>
      <c r="G31" s="87">
        <f>IF($K31=0,0,(K31*100)/(D31*$J$3/60))</f>
        <v>0</v>
      </c>
      <c r="H31" s="86">
        <f>U19+U26</f>
        <v>0</v>
      </c>
      <c r="I31" s="87">
        <f>D31-F31-U27</f>
        <v>0</v>
      </c>
      <c r="J31" s="84">
        <f>(D31-H31)/60*E31</f>
        <v>0</v>
      </c>
      <c r="K31" s="279">
        <f>F42</f>
        <v>0</v>
      </c>
      <c r="L31" s="327">
        <f>IF($K31=0,0,K31/J31)</f>
        <v>0</v>
      </c>
      <c r="V31" s="275"/>
      <c r="W31" s="275"/>
      <c r="X31" s="275"/>
    </row>
    <row r="32" spans="1:24" ht="16.95" customHeight="1" thickBot="1">
      <c r="A32" s="78"/>
      <c r="B32" s="90"/>
      <c r="C32" s="90"/>
      <c r="D32" s="91"/>
      <c r="E32" s="92"/>
      <c r="F32" s="93"/>
      <c r="G32" s="94"/>
      <c r="H32" s="93"/>
      <c r="I32" s="94"/>
      <c r="J32" s="91"/>
      <c r="K32" s="280"/>
      <c r="L32" s="330">
        <f>K31-J31</f>
        <v>0</v>
      </c>
      <c r="V32" s="275"/>
      <c r="W32" s="275"/>
      <c r="X32" s="275"/>
    </row>
    <row r="33" spans="1:28" s="331" customFormat="1" ht="17.25" customHeight="1">
      <c r="A33" s="108" t="s">
        <v>69</v>
      </c>
      <c r="B33" s="108"/>
      <c r="C33" s="108"/>
      <c r="D33" s="108"/>
      <c r="E33" s="108"/>
      <c r="F33" s="108"/>
      <c r="G33" s="108"/>
      <c r="H33" s="108"/>
      <c r="I33" s="109"/>
      <c r="J33" s="110" t="s">
        <v>70</v>
      </c>
      <c r="K33" s="111" t="s">
        <v>71</v>
      </c>
      <c r="L33" s="112">
        <f>IF($K34=0,0,K34/J34)</f>
        <v>0.625804195804196</v>
      </c>
      <c r="N33" s="303"/>
      <c r="O33" s="303"/>
      <c r="P33" s="303"/>
      <c r="Q33" s="303"/>
      <c r="R33" s="303"/>
      <c r="S33" s="303"/>
      <c r="T33" s="303"/>
      <c r="U33" s="303"/>
      <c r="V33" s="275"/>
      <c r="W33" s="332"/>
      <c r="X33" s="332"/>
    </row>
    <row r="34" spans="1:28" ht="17.25" customHeight="1" thickBot="1">
      <c r="A34" s="115"/>
      <c r="B34" s="115"/>
      <c r="C34" s="115"/>
      <c r="D34" s="115"/>
      <c r="E34" s="115"/>
      <c r="F34" s="115"/>
      <c r="G34" s="115"/>
      <c r="H34" s="115"/>
      <c r="I34" s="116"/>
      <c r="J34" s="117">
        <f>J21+J23+J25+J27+J29+J31</f>
        <v>19066.666666666661</v>
      </c>
      <c r="K34" s="111">
        <f>K21+K23+K25+K27+K29+K31</f>
        <v>11932</v>
      </c>
      <c r="L34" s="118"/>
      <c r="M34" s="275"/>
      <c r="V34" s="275"/>
      <c r="W34" s="275"/>
      <c r="X34" s="275"/>
    </row>
    <row r="35" spans="1:28" ht="17.25" customHeight="1">
      <c r="A35" s="119" t="s">
        <v>72</v>
      </c>
      <c r="B35" s="120"/>
      <c r="C35" s="120"/>
      <c r="D35" s="120"/>
      <c r="E35" s="121"/>
      <c r="F35" s="61" t="s">
        <v>73</v>
      </c>
      <c r="G35" s="61" t="s">
        <v>149</v>
      </c>
      <c r="H35" s="122"/>
      <c r="I35" s="123"/>
      <c r="J35" s="333"/>
      <c r="K35" s="334"/>
      <c r="L35" s="122" t="s">
        <v>75</v>
      </c>
      <c r="M35" s="335"/>
      <c r="V35" s="275"/>
      <c r="W35" s="336"/>
      <c r="X35" s="336"/>
    </row>
    <row r="36" spans="1:28" ht="17.25" customHeight="1" thickBot="1">
      <c r="A36" s="129"/>
      <c r="B36" s="130"/>
      <c r="C36" s="130"/>
      <c r="D36" s="130"/>
      <c r="E36" s="131"/>
      <c r="F36" s="73"/>
      <c r="G36" s="66"/>
      <c r="H36" s="126"/>
      <c r="I36" s="337"/>
      <c r="J36" s="124"/>
      <c r="K36" s="125"/>
      <c r="L36" s="126"/>
      <c r="M36" s="335"/>
      <c r="V36" s="275"/>
      <c r="W36" s="336"/>
      <c r="X36" s="336"/>
    </row>
    <row r="37" spans="1:28" ht="15.6" thickBot="1">
      <c r="A37" s="282" t="s">
        <v>150</v>
      </c>
      <c r="B37" s="283"/>
      <c r="C37" s="283"/>
      <c r="D37" s="283"/>
      <c r="E37" s="284"/>
      <c r="F37" s="140">
        <v>5120</v>
      </c>
      <c r="G37" s="338">
        <v>6222</v>
      </c>
      <c r="H37" s="339"/>
      <c r="I37" s="340"/>
      <c r="J37" s="341"/>
      <c r="K37" s="342">
        <f>G37</f>
        <v>6222</v>
      </c>
      <c r="L37" s="343"/>
      <c r="M37" s="344"/>
      <c r="V37" s="275"/>
      <c r="W37" s="275"/>
      <c r="X37" s="275"/>
    </row>
    <row r="38" spans="1:28" ht="13.5" customHeight="1" thickBot="1">
      <c r="A38" s="137" t="s">
        <v>151</v>
      </c>
      <c r="B38" s="138"/>
      <c r="C38" s="138"/>
      <c r="D38" s="138"/>
      <c r="E38" s="139"/>
      <c r="F38" s="140">
        <v>4812</v>
      </c>
      <c r="G38" s="345">
        <v>4800</v>
      </c>
      <c r="H38" s="346"/>
      <c r="I38" s="347"/>
      <c r="J38" s="348"/>
      <c r="K38" s="145">
        <f t="shared" ref="K38:K42" si="2">G38</f>
        <v>4800</v>
      </c>
      <c r="L38" s="349"/>
      <c r="M38" s="344"/>
      <c r="V38" s="275"/>
      <c r="W38" s="275"/>
      <c r="X38" s="275"/>
    </row>
    <row r="39" spans="1:28" ht="13.5" customHeight="1" thickBot="1">
      <c r="A39" s="137" t="s">
        <v>152</v>
      </c>
      <c r="B39" s="138"/>
      <c r="C39" s="138"/>
      <c r="D39" s="138"/>
      <c r="E39" s="139"/>
      <c r="F39" s="140">
        <v>2000</v>
      </c>
      <c r="G39" s="345"/>
      <c r="H39" s="346"/>
      <c r="I39" s="347"/>
      <c r="J39" s="348"/>
      <c r="K39" s="145">
        <f t="shared" si="2"/>
        <v>0</v>
      </c>
      <c r="L39" s="349"/>
      <c r="M39" s="344"/>
      <c r="V39" s="275"/>
      <c r="W39" s="275"/>
      <c r="X39" s="275"/>
    </row>
    <row r="40" spans="1:28" ht="13.5" customHeight="1" thickBot="1">
      <c r="A40" s="137"/>
      <c r="B40" s="138"/>
      <c r="C40" s="138"/>
      <c r="D40" s="138"/>
      <c r="E40" s="139"/>
      <c r="F40" s="140"/>
      <c r="G40" s="345"/>
      <c r="H40" s="346"/>
      <c r="I40" s="347"/>
      <c r="J40" s="348"/>
      <c r="K40" s="145">
        <f t="shared" si="2"/>
        <v>0</v>
      </c>
      <c r="L40" s="349"/>
      <c r="M40" s="344"/>
      <c r="V40" s="275"/>
      <c r="W40" s="275"/>
      <c r="X40" s="275"/>
    </row>
    <row r="41" spans="1:28" ht="13.5" customHeight="1" thickBot="1">
      <c r="A41" s="137"/>
      <c r="B41" s="138"/>
      <c r="C41" s="138"/>
      <c r="D41" s="138"/>
      <c r="E41" s="139"/>
      <c r="F41" s="140"/>
      <c r="G41" s="345"/>
      <c r="H41" s="346"/>
      <c r="I41" s="347"/>
      <c r="J41" s="348"/>
      <c r="K41" s="145">
        <f t="shared" si="2"/>
        <v>0</v>
      </c>
      <c r="L41" s="349"/>
      <c r="M41" s="344"/>
      <c r="V41" s="275"/>
      <c r="W41" s="275"/>
      <c r="X41" s="275"/>
    </row>
    <row r="42" spans="1:28" ht="13.5" customHeight="1" thickBot="1">
      <c r="A42" s="153"/>
      <c r="B42" s="154"/>
      <c r="C42" s="154"/>
      <c r="D42" s="154"/>
      <c r="E42" s="155"/>
      <c r="F42" s="140"/>
      <c r="G42" s="350"/>
      <c r="H42" s="351"/>
      <c r="I42" s="352"/>
      <c r="J42" s="353"/>
      <c r="K42" s="354">
        <f t="shared" si="2"/>
        <v>0</v>
      </c>
      <c r="L42" s="355"/>
      <c r="M42" s="344"/>
      <c r="V42" s="275"/>
      <c r="W42" s="275"/>
      <c r="X42" s="275"/>
    </row>
    <row r="43" spans="1:28" ht="13.8" thickBot="1">
      <c r="A43" s="156" t="s">
        <v>153</v>
      </c>
      <c r="B43" s="157"/>
      <c r="C43" s="157"/>
      <c r="D43" s="157"/>
      <c r="E43" s="157"/>
      <c r="F43" s="158"/>
      <c r="G43" s="157"/>
      <c r="H43" s="157"/>
      <c r="I43" s="157"/>
      <c r="J43" s="356"/>
      <c r="K43" s="357">
        <f>SUM(K37:K42)</f>
        <v>11022</v>
      </c>
      <c r="L43" s="357">
        <f>SUM(L38+L38)</f>
        <v>0</v>
      </c>
      <c r="M43" s="358"/>
      <c r="V43" s="275"/>
    </row>
    <row r="44" spans="1:28" ht="12.75" customHeight="1" thickBot="1"/>
    <row r="45" spans="1:28" ht="12.75" customHeight="1" thickBot="1">
      <c r="A45" s="162" t="s">
        <v>72</v>
      </c>
      <c r="B45" s="162" t="s">
        <v>78</v>
      </c>
      <c r="C45" s="163"/>
      <c r="D45" s="164" t="s">
        <v>79</v>
      </c>
      <c r="E45" s="163" t="s">
        <v>80</v>
      </c>
      <c r="F45" s="165" t="s">
        <v>81</v>
      </c>
      <c r="G45" s="166"/>
      <c r="H45" s="164" t="s">
        <v>82</v>
      </c>
      <c r="I45" s="167" t="s">
        <v>83</v>
      </c>
      <c r="J45" s="168"/>
      <c r="K45" s="164" t="s">
        <v>84</v>
      </c>
      <c r="L45" s="162" t="s">
        <v>85</v>
      </c>
      <c r="M45" s="165"/>
      <c r="N45" s="166"/>
      <c r="O45" s="164" t="s">
        <v>86</v>
      </c>
      <c r="P45" s="164" t="s">
        <v>87</v>
      </c>
      <c r="Q45" s="164" t="s">
        <v>88</v>
      </c>
      <c r="S45" s="169" t="s">
        <v>89</v>
      </c>
      <c r="T45" s="170"/>
      <c r="U45" s="170"/>
      <c r="V45" s="170"/>
      <c r="W45" s="170"/>
      <c r="X45" s="170"/>
      <c r="Y45" s="170"/>
      <c r="Z45" s="171"/>
    </row>
    <row r="46" spans="1:28" s="310" customFormat="1" ht="25.5" customHeight="1" thickBot="1">
      <c r="A46" s="172"/>
      <c r="B46" s="172"/>
      <c r="C46" s="173"/>
      <c r="D46" s="174"/>
      <c r="E46" s="175"/>
      <c r="F46" s="176"/>
      <c r="G46" s="177"/>
      <c r="H46" s="178"/>
      <c r="I46" s="179" t="s">
        <v>90</v>
      </c>
      <c r="J46" s="180" t="s">
        <v>91</v>
      </c>
      <c r="K46" s="174"/>
      <c r="L46" s="172"/>
      <c r="M46" s="181"/>
      <c r="N46" s="182"/>
      <c r="O46" s="174"/>
      <c r="P46" s="174"/>
      <c r="Q46" s="174"/>
      <c r="R46" s="303"/>
      <c r="S46" s="183" t="s">
        <v>92</v>
      </c>
      <c r="T46" s="183" t="s">
        <v>61</v>
      </c>
      <c r="U46" s="183" t="s">
        <v>62</v>
      </c>
      <c r="V46" s="183" t="s">
        <v>63</v>
      </c>
      <c r="W46" s="183" t="s">
        <v>64</v>
      </c>
      <c r="X46" s="183" t="s">
        <v>65</v>
      </c>
      <c r="Y46" s="183" t="s">
        <v>66</v>
      </c>
      <c r="Z46" s="183" t="s">
        <v>67</v>
      </c>
      <c r="AA46" s="303"/>
    </row>
    <row r="47" spans="1:28" s="359" customFormat="1" ht="29.25" customHeight="1">
      <c r="A47" s="184" t="str">
        <f>A37</f>
        <v xml:space="preserve">Гренадин </v>
      </c>
      <c r="B47" s="185">
        <f>B21</f>
        <v>0.33333333333333331</v>
      </c>
      <c r="C47" s="185">
        <f>B47+1/24</f>
        <v>0.375</v>
      </c>
      <c r="D47" s="186"/>
      <c r="E47" s="187"/>
      <c r="F47" s="188" t="s">
        <v>154</v>
      </c>
      <c r="G47" s="189"/>
      <c r="H47" s="190" t="s">
        <v>18</v>
      </c>
      <c r="I47" s="191">
        <v>0.40486111111111112</v>
      </c>
      <c r="J47" s="191">
        <v>0.47222222222222227</v>
      </c>
      <c r="K47" s="192">
        <f>(J47-I47+(J47&lt;I47))*24*60</f>
        <v>97.000000000000057</v>
      </c>
      <c r="L47" s="193" t="s">
        <v>155</v>
      </c>
      <c r="M47" s="194"/>
      <c r="N47" s="195"/>
      <c r="O47" s="196" t="str">
        <f t="shared" ref="O47:O110" si="3">IF(H47=$V$5,$F$7,"")</f>
        <v/>
      </c>
      <c r="P47" s="187"/>
      <c r="Q47" s="197"/>
      <c r="R47" s="303"/>
      <c r="S47" s="198">
        <f>IF($H47="ПЛАНОВЫЕ",$K47,0)</f>
        <v>0</v>
      </c>
      <c r="T47" s="198">
        <f>IF($H47="ПРОИЗВОДСТВЕННЫЕ",$K47,0)</f>
        <v>0</v>
      </c>
      <c r="U47" s="198">
        <f>IF($H47="ТЕХНИЧЕСКИЕ",$K47,0)</f>
        <v>97.000000000000057</v>
      </c>
      <c r="V47" s="198">
        <f>IF($H47="ТЕХНОЛОГИЧЕСКИЕ",$K47,0)</f>
        <v>0</v>
      </c>
      <c r="W47" s="198">
        <f>IF($H47="ЛАБОРАТОРНЫЕ",$K47,0)</f>
        <v>0</v>
      </c>
      <c r="X47" s="198">
        <f>IF($H47="СЫРЬЕВЫЕ",$K47,0)</f>
        <v>0</v>
      </c>
      <c r="Y47" s="198">
        <f>IF($H47="ЛОГИСТИЧЕСКИЕ",$K47,0)</f>
        <v>0</v>
      </c>
      <c r="Z47" s="198">
        <f>IF($H47="ОБЩЕЗАВОДСКИЕ",$K47,0)</f>
        <v>0</v>
      </c>
      <c r="AB47" s="360"/>
    </row>
    <row r="48" spans="1:28" s="359" customFormat="1" ht="29.25" customHeight="1">
      <c r="A48" s="201"/>
      <c r="B48" s="202">
        <f>C47</f>
        <v>0.375</v>
      </c>
      <c r="C48" s="202">
        <f>B48+1/24</f>
        <v>0.41666666666666669</v>
      </c>
      <c r="D48" s="203"/>
      <c r="E48" s="204"/>
      <c r="F48" s="205" t="s">
        <v>156</v>
      </c>
      <c r="G48" s="206"/>
      <c r="H48" s="214" t="s">
        <v>6</v>
      </c>
      <c r="I48" s="207">
        <v>0.49652777777777773</v>
      </c>
      <c r="J48" s="207">
        <v>0.50347222222222221</v>
      </c>
      <c r="K48" s="208">
        <f t="shared" ref="K48:K111" si="4">(J48-I48+(J48&lt;I48))*24*60</f>
        <v>10.000000000000044</v>
      </c>
      <c r="L48" s="209"/>
      <c r="M48" s="210"/>
      <c r="N48" s="211"/>
      <c r="O48" s="212" t="str">
        <f t="shared" si="3"/>
        <v/>
      </c>
      <c r="P48" s="204"/>
      <c r="Q48" s="213"/>
      <c r="R48" s="303"/>
      <c r="S48" s="198">
        <f t="shared" ref="S48:S111" si="5">IF($H48="ПЛАНОВЫЕ",$K48,0)</f>
        <v>10.000000000000044</v>
      </c>
      <c r="T48" s="198">
        <f t="shared" ref="T48:T111" si="6">IF($H48="ПРОИЗВОДСТВЕННЫЕ",$K48,0)</f>
        <v>0</v>
      </c>
      <c r="U48" s="198">
        <f t="shared" ref="U48:U111" si="7">IF($H48="ТЕХНИЧЕСКИЕ",$K48,0)</f>
        <v>0</v>
      </c>
      <c r="V48" s="198">
        <f t="shared" ref="V48:V111" si="8">IF($H48="ТЕХНОЛОГИЧЕСКИЕ",$K48,0)</f>
        <v>0</v>
      </c>
      <c r="W48" s="198">
        <f t="shared" ref="W48:W111" si="9">IF($H48="ЛАБОРАТОРНЫЕ",$K48,0)</f>
        <v>0</v>
      </c>
      <c r="X48" s="198">
        <f t="shared" ref="X48:X111" si="10">IF($H48="СЫРЬЕВЫЕ",$K48,0)</f>
        <v>0</v>
      </c>
      <c r="Y48" s="198">
        <f t="shared" ref="Y48:Y111" si="11">IF($H48="ЛОГИСТИЧЕСКИЕ",$K48,0)</f>
        <v>0</v>
      </c>
      <c r="Z48" s="198">
        <f t="shared" ref="Z48:Z111" si="12">IF($H48="ОБЩЕЗАВОДСКИЕ",$K48,0)</f>
        <v>0</v>
      </c>
      <c r="AB48" s="360"/>
    </row>
    <row r="49" spans="1:28" s="359" customFormat="1" ht="29.25" customHeight="1">
      <c r="A49" s="201"/>
      <c r="B49" s="202">
        <f t="shared" ref="B49:B58" si="13">C48</f>
        <v>0.41666666666666669</v>
      </c>
      <c r="C49" s="202">
        <f t="shared" ref="C49:C58" si="14">B49+1/24</f>
        <v>0.45833333333333337</v>
      </c>
      <c r="D49" s="203"/>
      <c r="E49" s="204"/>
      <c r="F49" s="215" t="s">
        <v>157</v>
      </c>
      <c r="G49" s="215"/>
      <c r="H49" s="214" t="s">
        <v>6</v>
      </c>
      <c r="I49" s="207">
        <v>0.50347222222222221</v>
      </c>
      <c r="J49" s="207">
        <v>0.58819444444444446</v>
      </c>
      <c r="K49" s="208">
        <f t="shared" si="4"/>
        <v>122.00000000000004</v>
      </c>
      <c r="L49" s="209"/>
      <c r="M49" s="210"/>
      <c r="N49" s="211"/>
      <c r="O49" s="212" t="str">
        <f t="shared" si="3"/>
        <v/>
      </c>
      <c r="P49" s="204"/>
      <c r="Q49" s="213"/>
      <c r="R49" s="303"/>
      <c r="S49" s="198">
        <f t="shared" si="5"/>
        <v>122.00000000000004</v>
      </c>
      <c r="T49" s="198">
        <f t="shared" si="6"/>
        <v>0</v>
      </c>
      <c r="U49" s="198">
        <f t="shared" si="7"/>
        <v>0</v>
      </c>
      <c r="V49" s="198">
        <f t="shared" si="8"/>
        <v>0</v>
      </c>
      <c r="W49" s="198">
        <f t="shared" si="9"/>
        <v>0</v>
      </c>
      <c r="X49" s="198">
        <f t="shared" si="10"/>
        <v>0</v>
      </c>
      <c r="Y49" s="198">
        <f t="shared" si="11"/>
        <v>0</v>
      </c>
      <c r="Z49" s="198">
        <f t="shared" si="12"/>
        <v>0</v>
      </c>
      <c r="AB49" s="360"/>
    </row>
    <row r="50" spans="1:28" s="359" customFormat="1" ht="29.25" customHeight="1">
      <c r="A50" s="201"/>
      <c r="B50" s="202">
        <f t="shared" si="13"/>
        <v>0.45833333333333337</v>
      </c>
      <c r="C50" s="202">
        <f t="shared" si="14"/>
        <v>0.5</v>
      </c>
      <c r="D50" s="203"/>
      <c r="E50" s="204"/>
      <c r="F50" s="215"/>
      <c r="G50" s="215"/>
      <c r="H50" s="214"/>
      <c r="I50" s="207"/>
      <c r="J50" s="207"/>
      <c r="K50" s="208">
        <f t="shared" si="4"/>
        <v>0</v>
      </c>
      <c r="L50" s="209"/>
      <c r="M50" s="210"/>
      <c r="N50" s="211"/>
      <c r="O50" s="212" t="str">
        <f t="shared" si="3"/>
        <v>Никишова</v>
      </c>
      <c r="P50" s="204"/>
      <c r="Q50" s="213"/>
      <c r="R50" s="303"/>
      <c r="S50" s="198">
        <f t="shared" si="5"/>
        <v>0</v>
      </c>
      <c r="T50" s="198">
        <f t="shared" si="6"/>
        <v>0</v>
      </c>
      <c r="U50" s="198">
        <f t="shared" si="7"/>
        <v>0</v>
      </c>
      <c r="V50" s="198">
        <f t="shared" si="8"/>
        <v>0</v>
      </c>
      <c r="W50" s="198">
        <f t="shared" si="9"/>
        <v>0</v>
      </c>
      <c r="X50" s="198">
        <f t="shared" si="10"/>
        <v>0</v>
      </c>
      <c r="Y50" s="198">
        <f t="shared" si="11"/>
        <v>0</v>
      </c>
      <c r="Z50" s="198">
        <f t="shared" si="12"/>
        <v>0</v>
      </c>
      <c r="AB50" s="360"/>
    </row>
    <row r="51" spans="1:28" s="359" customFormat="1" ht="29.25" customHeight="1">
      <c r="A51" s="201"/>
      <c r="B51" s="202">
        <f t="shared" si="13"/>
        <v>0.5</v>
      </c>
      <c r="C51" s="202">
        <f t="shared" si="14"/>
        <v>0.54166666666666663</v>
      </c>
      <c r="D51" s="203"/>
      <c r="E51" s="204"/>
      <c r="F51" s="215"/>
      <c r="G51" s="215"/>
      <c r="H51" s="214"/>
      <c r="I51" s="207"/>
      <c r="J51" s="207"/>
      <c r="K51" s="208">
        <f t="shared" si="4"/>
        <v>0</v>
      </c>
      <c r="L51" s="209"/>
      <c r="M51" s="210"/>
      <c r="N51" s="211"/>
      <c r="O51" s="212" t="str">
        <f t="shared" si="3"/>
        <v>Никишова</v>
      </c>
      <c r="P51" s="204"/>
      <c r="Q51" s="213"/>
      <c r="R51" s="303"/>
      <c r="S51" s="198">
        <f t="shared" si="5"/>
        <v>0</v>
      </c>
      <c r="T51" s="198">
        <f t="shared" si="6"/>
        <v>0</v>
      </c>
      <c r="U51" s="198">
        <f t="shared" si="7"/>
        <v>0</v>
      </c>
      <c r="V51" s="198">
        <f t="shared" si="8"/>
        <v>0</v>
      </c>
      <c r="W51" s="198">
        <f t="shared" si="9"/>
        <v>0</v>
      </c>
      <c r="X51" s="198">
        <f t="shared" si="10"/>
        <v>0</v>
      </c>
      <c r="Y51" s="198">
        <f t="shared" si="11"/>
        <v>0</v>
      </c>
      <c r="Z51" s="198">
        <f t="shared" si="12"/>
        <v>0</v>
      </c>
      <c r="AB51" s="360"/>
    </row>
    <row r="52" spans="1:28" s="359" customFormat="1" ht="29.25" customHeight="1">
      <c r="A52" s="201"/>
      <c r="B52" s="202">
        <f t="shared" si="13"/>
        <v>0.54166666666666663</v>
      </c>
      <c r="C52" s="202">
        <f t="shared" si="14"/>
        <v>0.58333333333333326</v>
      </c>
      <c r="D52" s="203"/>
      <c r="E52" s="204"/>
      <c r="F52" s="215"/>
      <c r="G52" s="215"/>
      <c r="H52" s="214"/>
      <c r="I52" s="207"/>
      <c r="J52" s="207"/>
      <c r="K52" s="208">
        <f t="shared" si="4"/>
        <v>0</v>
      </c>
      <c r="L52" s="209"/>
      <c r="M52" s="210"/>
      <c r="N52" s="211"/>
      <c r="O52" s="212" t="str">
        <f t="shared" si="3"/>
        <v>Никишова</v>
      </c>
      <c r="P52" s="204"/>
      <c r="Q52" s="213"/>
      <c r="R52" s="303"/>
      <c r="S52" s="198">
        <f t="shared" si="5"/>
        <v>0</v>
      </c>
      <c r="T52" s="198">
        <f t="shared" si="6"/>
        <v>0</v>
      </c>
      <c r="U52" s="198">
        <f t="shared" si="7"/>
        <v>0</v>
      </c>
      <c r="V52" s="198">
        <f t="shared" si="8"/>
        <v>0</v>
      </c>
      <c r="W52" s="198">
        <f t="shared" si="9"/>
        <v>0</v>
      </c>
      <c r="X52" s="198">
        <f t="shared" si="10"/>
        <v>0</v>
      </c>
      <c r="Y52" s="198">
        <f t="shared" si="11"/>
        <v>0</v>
      </c>
      <c r="Z52" s="198">
        <f t="shared" si="12"/>
        <v>0</v>
      </c>
      <c r="AB52" s="360"/>
    </row>
    <row r="53" spans="1:28" s="359" customFormat="1" ht="29.25" customHeight="1">
      <c r="A53" s="201"/>
      <c r="B53" s="202">
        <f t="shared" si="13"/>
        <v>0.58333333333333326</v>
      </c>
      <c r="C53" s="202">
        <f t="shared" si="14"/>
        <v>0.62499999999999989</v>
      </c>
      <c r="D53" s="203"/>
      <c r="E53" s="216"/>
      <c r="F53" s="215"/>
      <c r="G53" s="215"/>
      <c r="H53" s="214"/>
      <c r="I53" s="207"/>
      <c r="J53" s="207"/>
      <c r="K53" s="208">
        <f t="shared" si="4"/>
        <v>0</v>
      </c>
      <c r="L53" s="209"/>
      <c r="M53" s="210"/>
      <c r="N53" s="211"/>
      <c r="O53" s="212" t="str">
        <f t="shared" si="3"/>
        <v>Никишова</v>
      </c>
      <c r="P53" s="204"/>
      <c r="Q53" s="213"/>
      <c r="R53" s="303"/>
      <c r="S53" s="198">
        <f t="shared" si="5"/>
        <v>0</v>
      </c>
      <c r="T53" s="198">
        <f t="shared" si="6"/>
        <v>0</v>
      </c>
      <c r="U53" s="198">
        <f t="shared" si="7"/>
        <v>0</v>
      </c>
      <c r="V53" s="198">
        <f t="shared" si="8"/>
        <v>0</v>
      </c>
      <c r="W53" s="198">
        <f t="shared" si="9"/>
        <v>0</v>
      </c>
      <c r="X53" s="198">
        <f t="shared" si="10"/>
        <v>0</v>
      </c>
      <c r="Y53" s="198">
        <f t="shared" si="11"/>
        <v>0</v>
      </c>
      <c r="Z53" s="198">
        <f t="shared" si="12"/>
        <v>0</v>
      </c>
      <c r="AB53" s="360"/>
    </row>
    <row r="54" spans="1:28" s="359" customFormat="1" ht="29.25" customHeight="1">
      <c r="A54" s="201"/>
      <c r="B54" s="202">
        <f t="shared" si="13"/>
        <v>0.62499999999999989</v>
      </c>
      <c r="C54" s="202">
        <f t="shared" si="14"/>
        <v>0.66666666666666652</v>
      </c>
      <c r="D54" s="203"/>
      <c r="E54" s="216"/>
      <c r="F54" s="205"/>
      <c r="G54" s="206"/>
      <c r="H54" s="214"/>
      <c r="I54" s="207"/>
      <c r="J54" s="207"/>
      <c r="K54" s="208">
        <f t="shared" si="4"/>
        <v>0</v>
      </c>
      <c r="L54" s="209"/>
      <c r="M54" s="210"/>
      <c r="N54" s="211"/>
      <c r="O54" s="212" t="str">
        <f t="shared" si="3"/>
        <v>Никишова</v>
      </c>
      <c r="P54" s="204"/>
      <c r="Q54" s="213"/>
      <c r="R54" s="303"/>
      <c r="S54" s="198">
        <f t="shared" si="5"/>
        <v>0</v>
      </c>
      <c r="T54" s="198">
        <f t="shared" si="6"/>
        <v>0</v>
      </c>
      <c r="U54" s="198">
        <f t="shared" si="7"/>
        <v>0</v>
      </c>
      <c r="V54" s="198">
        <f t="shared" si="8"/>
        <v>0</v>
      </c>
      <c r="W54" s="198">
        <f t="shared" si="9"/>
        <v>0</v>
      </c>
      <c r="X54" s="198">
        <f t="shared" si="10"/>
        <v>0</v>
      </c>
      <c r="Y54" s="198">
        <f t="shared" si="11"/>
        <v>0</v>
      </c>
      <c r="Z54" s="198">
        <f t="shared" si="12"/>
        <v>0</v>
      </c>
      <c r="AB54" s="360"/>
    </row>
    <row r="55" spans="1:28" s="359" customFormat="1" ht="29.25" customHeight="1">
      <c r="A55" s="201"/>
      <c r="B55" s="202">
        <f t="shared" si="13"/>
        <v>0.66666666666666652</v>
      </c>
      <c r="C55" s="202">
        <f t="shared" si="14"/>
        <v>0.70833333333333315</v>
      </c>
      <c r="D55" s="203"/>
      <c r="E55" s="216"/>
      <c r="F55" s="205"/>
      <c r="G55" s="206"/>
      <c r="H55" s="214"/>
      <c r="I55" s="207"/>
      <c r="J55" s="207"/>
      <c r="K55" s="208">
        <f t="shared" si="4"/>
        <v>0</v>
      </c>
      <c r="L55" s="209"/>
      <c r="M55" s="210"/>
      <c r="N55" s="211"/>
      <c r="O55" s="212" t="str">
        <f t="shared" si="3"/>
        <v>Никишова</v>
      </c>
      <c r="P55" s="204"/>
      <c r="Q55" s="213"/>
      <c r="R55" s="303"/>
      <c r="S55" s="198">
        <f t="shared" si="5"/>
        <v>0</v>
      </c>
      <c r="T55" s="198">
        <f t="shared" si="6"/>
        <v>0</v>
      </c>
      <c r="U55" s="198">
        <f t="shared" si="7"/>
        <v>0</v>
      </c>
      <c r="V55" s="198">
        <f t="shared" si="8"/>
        <v>0</v>
      </c>
      <c r="W55" s="198">
        <f t="shared" si="9"/>
        <v>0</v>
      </c>
      <c r="X55" s="198">
        <f t="shared" si="10"/>
        <v>0</v>
      </c>
      <c r="Y55" s="198">
        <f t="shared" si="11"/>
        <v>0</v>
      </c>
      <c r="Z55" s="198">
        <f t="shared" si="12"/>
        <v>0</v>
      </c>
      <c r="AB55" s="360"/>
    </row>
    <row r="56" spans="1:28" s="359" customFormat="1" ht="29.25" customHeight="1">
      <c r="A56" s="201"/>
      <c r="B56" s="202">
        <f t="shared" si="13"/>
        <v>0.70833333333333315</v>
      </c>
      <c r="C56" s="202">
        <f t="shared" si="14"/>
        <v>0.74999999999999978</v>
      </c>
      <c r="D56" s="203"/>
      <c r="E56" s="216"/>
      <c r="F56" s="215"/>
      <c r="G56" s="215"/>
      <c r="H56" s="214"/>
      <c r="I56" s="207"/>
      <c r="J56" s="207"/>
      <c r="K56" s="208">
        <f t="shared" si="4"/>
        <v>0</v>
      </c>
      <c r="L56" s="209"/>
      <c r="M56" s="210"/>
      <c r="N56" s="211"/>
      <c r="O56" s="212" t="str">
        <f t="shared" si="3"/>
        <v>Никишова</v>
      </c>
      <c r="P56" s="204"/>
      <c r="Q56" s="213"/>
      <c r="R56" s="303"/>
      <c r="S56" s="198">
        <f t="shared" si="5"/>
        <v>0</v>
      </c>
      <c r="T56" s="198">
        <f t="shared" si="6"/>
        <v>0</v>
      </c>
      <c r="U56" s="198">
        <f t="shared" si="7"/>
        <v>0</v>
      </c>
      <c r="V56" s="198">
        <f t="shared" si="8"/>
        <v>0</v>
      </c>
      <c r="W56" s="198">
        <f t="shared" si="9"/>
        <v>0</v>
      </c>
      <c r="X56" s="198">
        <f t="shared" si="10"/>
        <v>0</v>
      </c>
      <c r="Y56" s="198">
        <f t="shared" si="11"/>
        <v>0</v>
      </c>
      <c r="Z56" s="198">
        <f t="shared" si="12"/>
        <v>0</v>
      </c>
      <c r="AB56" s="360"/>
    </row>
    <row r="57" spans="1:28" s="359" customFormat="1" ht="29.25" customHeight="1">
      <c r="A57" s="201"/>
      <c r="B57" s="202">
        <f t="shared" si="13"/>
        <v>0.74999999999999978</v>
      </c>
      <c r="C57" s="202">
        <f t="shared" si="14"/>
        <v>0.79166666666666641</v>
      </c>
      <c r="D57" s="217"/>
      <c r="E57" s="216"/>
      <c r="F57" s="215"/>
      <c r="G57" s="215"/>
      <c r="H57" s="214"/>
      <c r="I57" s="207"/>
      <c r="J57" s="207"/>
      <c r="K57" s="208">
        <f t="shared" si="4"/>
        <v>0</v>
      </c>
      <c r="L57" s="209"/>
      <c r="M57" s="210"/>
      <c r="N57" s="211"/>
      <c r="O57" s="212" t="str">
        <f t="shared" si="3"/>
        <v>Никишова</v>
      </c>
      <c r="P57" s="204"/>
      <c r="Q57" s="213"/>
      <c r="R57" s="303"/>
      <c r="S57" s="198">
        <f t="shared" si="5"/>
        <v>0</v>
      </c>
      <c r="T57" s="198">
        <f t="shared" si="6"/>
        <v>0</v>
      </c>
      <c r="U57" s="198">
        <f t="shared" si="7"/>
        <v>0</v>
      </c>
      <c r="V57" s="198">
        <f t="shared" si="8"/>
        <v>0</v>
      </c>
      <c r="W57" s="198">
        <f t="shared" si="9"/>
        <v>0</v>
      </c>
      <c r="X57" s="198">
        <f t="shared" si="10"/>
        <v>0</v>
      </c>
      <c r="Y57" s="198">
        <f t="shared" si="11"/>
        <v>0</v>
      </c>
      <c r="Z57" s="198">
        <f t="shared" si="12"/>
        <v>0</v>
      </c>
      <c r="AB57" s="360"/>
    </row>
    <row r="58" spans="1:28" s="359" customFormat="1" ht="29.25" customHeight="1" thickBot="1">
      <c r="A58" s="218"/>
      <c r="B58" s="219">
        <f t="shared" si="13"/>
        <v>0.79166666666666641</v>
      </c>
      <c r="C58" s="220">
        <f t="shared" si="14"/>
        <v>0.83333333333333304</v>
      </c>
      <c r="D58" s="221"/>
      <c r="E58" s="221"/>
      <c r="F58" s="222"/>
      <c r="G58" s="222"/>
      <c r="H58" s="214"/>
      <c r="I58" s="223"/>
      <c r="J58" s="223"/>
      <c r="K58" s="224">
        <f t="shared" si="4"/>
        <v>0</v>
      </c>
      <c r="L58" s="225"/>
      <c r="M58" s="226"/>
      <c r="N58" s="227"/>
      <c r="O58" s="204" t="str">
        <f t="shared" si="3"/>
        <v>Никишова</v>
      </c>
      <c r="P58" s="228"/>
      <c r="Q58" s="229"/>
      <c r="R58" s="303"/>
      <c r="S58" s="198">
        <f t="shared" si="5"/>
        <v>0</v>
      </c>
      <c r="T58" s="198">
        <f t="shared" si="6"/>
        <v>0</v>
      </c>
      <c r="U58" s="198">
        <f t="shared" si="7"/>
        <v>0</v>
      </c>
      <c r="V58" s="198">
        <f t="shared" si="8"/>
        <v>0</v>
      </c>
      <c r="W58" s="198">
        <f t="shared" si="9"/>
        <v>0</v>
      </c>
      <c r="X58" s="198">
        <f t="shared" si="10"/>
        <v>0</v>
      </c>
      <c r="Y58" s="198">
        <f t="shared" si="11"/>
        <v>0</v>
      </c>
      <c r="Z58" s="198">
        <f t="shared" si="12"/>
        <v>0</v>
      </c>
      <c r="AB58" s="360"/>
    </row>
    <row r="59" spans="1:28" s="359" customFormat="1" ht="29.25" customHeight="1">
      <c r="A59" s="184" t="str">
        <f>A38</f>
        <v>Кокос</v>
      </c>
      <c r="B59" s="185">
        <f>B23</f>
        <v>0.58819444444444446</v>
      </c>
      <c r="C59" s="185">
        <f>B59+1/24</f>
        <v>0.62986111111111109</v>
      </c>
      <c r="D59" s="186"/>
      <c r="E59" s="187"/>
      <c r="F59" s="188" t="s">
        <v>158</v>
      </c>
      <c r="G59" s="189"/>
      <c r="H59" s="190" t="s">
        <v>6</v>
      </c>
      <c r="I59" s="191">
        <v>0.58819444444444446</v>
      </c>
      <c r="J59" s="191">
        <v>0.59722222222222221</v>
      </c>
      <c r="K59" s="192">
        <f t="shared" si="4"/>
        <v>12.999999999999954</v>
      </c>
      <c r="L59" s="193"/>
      <c r="M59" s="194"/>
      <c r="N59" s="195"/>
      <c r="O59" s="196" t="str">
        <f t="shared" si="3"/>
        <v/>
      </c>
      <c r="P59" s="187"/>
      <c r="Q59" s="197"/>
      <c r="R59" s="303"/>
      <c r="S59" s="198">
        <f t="shared" si="5"/>
        <v>12.999999999999954</v>
      </c>
      <c r="T59" s="198">
        <f t="shared" si="6"/>
        <v>0</v>
      </c>
      <c r="U59" s="198">
        <f t="shared" si="7"/>
        <v>0</v>
      </c>
      <c r="V59" s="198">
        <f t="shared" si="8"/>
        <v>0</v>
      </c>
      <c r="W59" s="198">
        <f t="shared" si="9"/>
        <v>0</v>
      </c>
      <c r="X59" s="198">
        <f t="shared" si="10"/>
        <v>0</v>
      </c>
      <c r="Y59" s="198">
        <f t="shared" si="11"/>
        <v>0</v>
      </c>
      <c r="Z59" s="198">
        <f t="shared" si="12"/>
        <v>0</v>
      </c>
      <c r="AB59" s="360"/>
    </row>
    <row r="60" spans="1:28" s="359" customFormat="1" ht="29.25" customHeight="1">
      <c r="A60" s="201"/>
      <c r="B60" s="202">
        <f>C59</f>
        <v>0.62986111111111109</v>
      </c>
      <c r="C60" s="202">
        <f>B60+1/24</f>
        <v>0.67152777777777772</v>
      </c>
      <c r="D60" s="203"/>
      <c r="E60" s="204"/>
      <c r="F60" s="205" t="s">
        <v>159</v>
      </c>
      <c r="G60" s="206"/>
      <c r="H60" s="214" t="s">
        <v>29</v>
      </c>
      <c r="I60" s="207">
        <v>0.59722222222222221</v>
      </c>
      <c r="J60" s="207">
        <v>0.60416666666666663</v>
      </c>
      <c r="K60" s="208">
        <f t="shared" si="4"/>
        <v>9.9999999999999645</v>
      </c>
      <c r="L60" s="209"/>
      <c r="M60" s="210"/>
      <c r="N60" s="211"/>
      <c r="O60" s="212" t="str">
        <f t="shared" si="3"/>
        <v/>
      </c>
      <c r="P60" s="204"/>
      <c r="Q60" s="213"/>
      <c r="R60" s="303"/>
      <c r="S60" s="198">
        <f t="shared" si="5"/>
        <v>0</v>
      </c>
      <c r="T60" s="198">
        <f t="shared" si="6"/>
        <v>0</v>
      </c>
      <c r="U60" s="198">
        <f t="shared" si="7"/>
        <v>0</v>
      </c>
      <c r="V60" s="198">
        <f t="shared" si="8"/>
        <v>0</v>
      </c>
      <c r="W60" s="198">
        <f t="shared" si="9"/>
        <v>9.9999999999999645</v>
      </c>
      <c r="X60" s="198">
        <f t="shared" si="10"/>
        <v>0</v>
      </c>
      <c r="Y60" s="198">
        <f t="shared" si="11"/>
        <v>0</v>
      </c>
      <c r="Z60" s="198">
        <f t="shared" si="12"/>
        <v>0</v>
      </c>
      <c r="AB60" s="360"/>
    </row>
    <row r="61" spans="1:28" s="359" customFormat="1" ht="29.25" customHeight="1">
      <c r="A61" s="201"/>
      <c r="B61" s="202">
        <f t="shared" ref="B61:B69" si="15">C60</f>
        <v>0.67152777777777772</v>
      </c>
      <c r="C61" s="202">
        <f t="shared" ref="C61:C69" si="16">B61+1/24</f>
        <v>0.71319444444444435</v>
      </c>
      <c r="D61" s="203"/>
      <c r="E61" s="204"/>
      <c r="F61" s="215" t="s">
        <v>160</v>
      </c>
      <c r="G61" s="215"/>
      <c r="H61" s="214" t="s">
        <v>18</v>
      </c>
      <c r="I61" s="207">
        <v>0.62986111111111109</v>
      </c>
      <c r="J61" s="207">
        <v>0.65902777777777777</v>
      </c>
      <c r="K61" s="208">
        <f t="shared" si="4"/>
        <v>42.000000000000014</v>
      </c>
      <c r="L61" s="209" t="s">
        <v>161</v>
      </c>
      <c r="M61" s="210"/>
      <c r="N61" s="211"/>
      <c r="O61" s="212" t="str">
        <f t="shared" si="3"/>
        <v/>
      </c>
      <c r="P61" s="204"/>
      <c r="Q61" s="213"/>
      <c r="R61" s="303"/>
      <c r="S61" s="198">
        <f t="shared" si="5"/>
        <v>0</v>
      </c>
      <c r="T61" s="198">
        <f t="shared" si="6"/>
        <v>0</v>
      </c>
      <c r="U61" s="198">
        <f t="shared" si="7"/>
        <v>42.000000000000014</v>
      </c>
      <c r="V61" s="198">
        <f t="shared" si="8"/>
        <v>0</v>
      </c>
      <c r="W61" s="198">
        <f t="shared" si="9"/>
        <v>0</v>
      </c>
      <c r="X61" s="198">
        <f t="shared" si="10"/>
        <v>0</v>
      </c>
      <c r="Y61" s="198">
        <f t="shared" si="11"/>
        <v>0</v>
      </c>
      <c r="Z61" s="198">
        <f t="shared" si="12"/>
        <v>0</v>
      </c>
      <c r="AB61" s="360"/>
    </row>
    <row r="62" spans="1:28" s="359" customFormat="1" ht="29.25" customHeight="1">
      <c r="A62" s="201"/>
      <c r="B62" s="202">
        <f t="shared" si="15"/>
        <v>0.71319444444444435</v>
      </c>
      <c r="C62" s="202">
        <f t="shared" si="16"/>
        <v>0.75486111111111098</v>
      </c>
      <c r="D62" s="203"/>
      <c r="E62" s="204"/>
      <c r="F62" s="205" t="s">
        <v>156</v>
      </c>
      <c r="G62" s="206"/>
      <c r="H62" s="214" t="s">
        <v>6</v>
      </c>
      <c r="I62" s="207">
        <v>0.72569444444444453</v>
      </c>
      <c r="J62" s="207">
        <v>0.73125000000000007</v>
      </c>
      <c r="K62" s="208">
        <f t="shared" si="4"/>
        <v>7.9999999999999716</v>
      </c>
      <c r="L62" s="209"/>
      <c r="M62" s="210"/>
      <c r="N62" s="211"/>
      <c r="O62" s="212" t="str">
        <f t="shared" si="3"/>
        <v/>
      </c>
      <c r="P62" s="204"/>
      <c r="Q62" s="213"/>
      <c r="R62" s="303"/>
      <c r="S62" s="198">
        <f t="shared" si="5"/>
        <v>7.9999999999999716</v>
      </c>
      <c r="T62" s="198">
        <f t="shared" si="6"/>
        <v>0</v>
      </c>
      <c r="U62" s="198">
        <f t="shared" si="7"/>
        <v>0</v>
      </c>
      <c r="V62" s="198">
        <f t="shared" si="8"/>
        <v>0</v>
      </c>
      <c r="W62" s="198">
        <f t="shared" si="9"/>
        <v>0</v>
      </c>
      <c r="X62" s="198">
        <f t="shared" si="10"/>
        <v>0</v>
      </c>
      <c r="Y62" s="198">
        <f t="shared" si="11"/>
        <v>0</v>
      </c>
      <c r="Z62" s="198">
        <f t="shared" si="12"/>
        <v>0</v>
      </c>
      <c r="AB62" s="360"/>
    </row>
    <row r="63" spans="1:28" s="359" customFormat="1" ht="29.25" customHeight="1">
      <c r="A63" s="201"/>
      <c r="B63" s="202">
        <f t="shared" si="15"/>
        <v>0.75486111111111098</v>
      </c>
      <c r="C63" s="202">
        <f t="shared" si="16"/>
        <v>0.79652777777777761</v>
      </c>
      <c r="D63" s="203"/>
      <c r="E63" s="204"/>
      <c r="F63" s="215" t="s">
        <v>162</v>
      </c>
      <c r="G63" s="215"/>
      <c r="H63" s="214" t="s">
        <v>6</v>
      </c>
      <c r="I63" s="207">
        <v>0.73125000000000007</v>
      </c>
      <c r="J63" s="207">
        <v>0.75694444444444453</v>
      </c>
      <c r="K63" s="208">
        <f t="shared" si="4"/>
        <v>37.000000000000028</v>
      </c>
      <c r="L63" s="209"/>
      <c r="M63" s="210"/>
      <c r="N63" s="211"/>
      <c r="O63" s="212" t="str">
        <f t="shared" si="3"/>
        <v/>
      </c>
      <c r="P63" s="204"/>
      <c r="Q63" s="213"/>
      <c r="R63" s="303"/>
      <c r="S63" s="198">
        <f t="shared" si="5"/>
        <v>37.000000000000028</v>
      </c>
      <c r="T63" s="198">
        <f t="shared" si="6"/>
        <v>0</v>
      </c>
      <c r="U63" s="198">
        <f t="shared" si="7"/>
        <v>0</v>
      </c>
      <c r="V63" s="198">
        <f t="shared" si="8"/>
        <v>0</v>
      </c>
      <c r="W63" s="198">
        <f t="shared" si="9"/>
        <v>0</v>
      </c>
      <c r="X63" s="198">
        <f t="shared" si="10"/>
        <v>0</v>
      </c>
      <c r="Y63" s="198">
        <f t="shared" si="11"/>
        <v>0</v>
      </c>
      <c r="Z63" s="198">
        <f t="shared" si="12"/>
        <v>0</v>
      </c>
      <c r="AB63" s="360"/>
    </row>
    <row r="64" spans="1:28" s="359" customFormat="1" ht="29.25" customHeight="1">
      <c r="A64" s="201"/>
      <c r="B64" s="202">
        <f t="shared" si="15"/>
        <v>0.79652777777777761</v>
      </c>
      <c r="C64" s="202">
        <f t="shared" si="16"/>
        <v>0.83819444444444424</v>
      </c>
      <c r="D64" s="203"/>
      <c r="E64" s="204"/>
      <c r="F64" s="215"/>
      <c r="G64" s="215"/>
      <c r="H64" s="214"/>
      <c r="I64" s="207"/>
      <c r="J64" s="207"/>
      <c r="K64" s="208">
        <f t="shared" si="4"/>
        <v>0</v>
      </c>
      <c r="L64" s="209"/>
      <c r="M64" s="210"/>
      <c r="N64" s="211"/>
      <c r="O64" s="212" t="str">
        <f t="shared" si="3"/>
        <v>Никишова</v>
      </c>
      <c r="P64" s="204"/>
      <c r="Q64" s="213"/>
      <c r="R64" s="303"/>
      <c r="S64" s="198">
        <f t="shared" si="5"/>
        <v>0</v>
      </c>
      <c r="T64" s="198">
        <f t="shared" si="6"/>
        <v>0</v>
      </c>
      <c r="U64" s="198">
        <f t="shared" si="7"/>
        <v>0</v>
      </c>
      <c r="V64" s="198">
        <f t="shared" si="8"/>
        <v>0</v>
      </c>
      <c r="W64" s="198">
        <f t="shared" si="9"/>
        <v>0</v>
      </c>
      <c r="X64" s="198">
        <f t="shared" si="10"/>
        <v>0</v>
      </c>
      <c r="Y64" s="198">
        <f t="shared" si="11"/>
        <v>0</v>
      </c>
      <c r="Z64" s="198">
        <f t="shared" si="12"/>
        <v>0</v>
      </c>
      <c r="AB64" s="360"/>
    </row>
    <row r="65" spans="1:28" s="359" customFormat="1" ht="29.25" customHeight="1">
      <c r="A65" s="201"/>
      <c r="B65" s="202">
        <f t="shared" si="15"/>
        <v>0.83819444444444424</v>
      </c>
      <c r="C65" s="202">
        <f t="shared" si="16"/>
        <v>0.87986111111111087</v>
      </c>
      <c r="D65" s="203"/>
      <c r="E65" s="216"/>
      <c r="F65" s="215"/>
      <c r="G65" s="215"/>
      <c r="H65" s="214"/>
      <c r="I65" s="207"/>
      <c r="J65" s="207"/>
      <c r="K65" s="208">
        <f t="shared" si="4"/>
        <v>0</v>
      </c>
      <c r="L65" s="209"/>
      <c r="M65" s="210"/>
      <c r="N65" s="211"/>
      <c r="O65" s="212" t="str">
        <f t="shared" si="3"/>
        <v>Никишова</v>
      </c>
      <c r="P65" s="204"/>
      <c r="Q65" s="213"/>
      <c r="R65" s="303"/>
      <c r="S65" s="198">
        <f t="shared" si="5"/>
        <v>0</v>
      </c>
      <c r="T65" s="198">
        <f t="shared" si="6"/>
        <v>0</v>
      </c>
      <c r="U65" s="198">
        <f t="shared" si="7"/>
        <v>0</v>
      </c>
      <c r="V65" s="198">
        <f t="shared" si="8"/>
        <v>0</v>
      </c>
      <c r="W65" s="198">
        <f t="shared" si="9"/>
        <v>0</v>
      </c>
      <c r="X65" s="198">
        <f t="shared" si="10"/>
        <v>0</v>
      </c>
      <c r="Y65" s="198">
        <f t="shared" si="11"/>
        <v>0</v>
      </c>
      <c r="Z65" s="198">
        <f t="shared" si="12"/>
        <v>0</v>
      </c>
      <c r="AB65" s="360"/>
    </row>
    <row r="66" spans="1:28" s="359" customFormat="1" ht="29.25" customHeight="1">
      <c r="A66" s="201"/>
      <c r="B66" s="202">
        <f t="shared" si="15"/>
        <v>0.87986111111111087</v>
      </c>
      <c r="C66" s="202">
        <f t="shared" si="16"/>
        <v>0.9215277777777775</v>
      </c>
      <c r="D66" s="203"/>
      <c r="E66" s="216"/>
      <c r="F66" s="205"/>
      <c r="G66" s="206"/>
      <c r="H66" s="214"/>
      <c r="I66" s="207"/>
      <c r="J66" s="207"/>
      <c r="K66" s="208">
        <f t="shared" si="4"/>
        <v>0</v>
      </c>
      <c r="L66" s="209"/>
      <c r="M66" s="210"/>
      <c r="N66" s="211"/>
      <c r="O66" s="212" t="str">
        <f t="shared" si="3"/>
        <v>Никишова</v>
      </c>
      <c r="P66" s="204"/>
      <c r="Q66" s="213"/>
      <c r="R66" s="303"/>
      <c r="S66" s="198">
        <f t="shared" si="5"/>
        <v>0</v>
      </c>
      <c r="T66" s="198">
        <f t="shared" si="6"/>
        <v>0</v>
      </c>
      <c r="U66" s="198">
        <f t="shared" si="7"/>
        <v>0</v>
      </c>
      <c r="V66" s="198">
        <f t="shared" si="8"/>
        <v>0</v>
      </c>
      <c r="W66" s="198">
        <f t="shared" si="9"/>
        <v>0</v>
      </c>
      <c r="X66" s="198">
        <f t="shared" si="10"/>
        <v>0</v>
      </c>
      <c r="Y66" s="198">
        <f t="shared" si="11"/>
        <v>0</v>
      </c>
      <c r="Z66" s="198">
        <f t="shared" si="12"/>
        <v>0</v>
      </c>
      <c r="AB66" s="360"/>
    </row>
    <row r="67" spans="1:28" s="359" customFormat="1" ht="29.25" customHeight="1">
      <c r="A67" s="201"/>
      <c r="B67" s="202">
        <f t="shared" si="15"/>
        <v>0.9215277777777775</v>
      </c>
      <c r="C67" s="202">
        <f t="shared" si="16"/>
        <v>0.96319444444444413</v>
      </c>
      <c r="D67" s="203"/>
      <c r="E67" s="216"/>
      <c r="F67" s="205"/>
      <c r="G67" s="206"/>
      <c r="H67" s="214"/>
      <c r="I67" s="207"/>
      <c r="J67" s="207"/>
      <c r="K67" s="208">
        <f t="shared" si="4"/>
        <v>0</v>
      </c>
      <c r="L67" s="209"/>
      <c r="M67" s="210"/>
      <c r="N67" s="211"/>
      <c r="O67" s="212" t="str">
        <f t="shared" si="3"/>
        <v>Никишова</v>
      </c>
      <c r="P67" s="204"/>
      <c r="Q67" s="213"/>
      <c r="R67" s="303"/>
      <c r="S67" s="198">
        <f t="shared" si="5"/>
        <v>0</v>
      </c>
      <c r="T67" s="198">
        <f t="shared" si="6"/>
        <v>0</v>
      </c>
      <c r="U67" s="198">
        <f t="shared" si="7"/>
        <v>0</v>
      </c>
      <c r="V67" s="198">
        <f t="shared" si="8"/>
        <v>0</v>
      </c>
      <c r="W67" s="198">
        <f t="shared" si="9"/>
        <v>0</v>
      </c>
      <c r="X67" s="198">
        <f t="shared" si="10"/>
        <v>0</v>
      </c>
      <c r="Y67" s="198">
        <f t="shared" si="11"/>
        <v>0</v>
      </c>
      <c r="Z67" s="198">
        <f t="shared" si="12"/>
        <v>0</v>
      </c>
      <c r="AB67" s="360"/>
    </row>
    <row r="68" spans="1:28" s="359" customFormat="1" ht="29.25" customHeight="1">
      <c r="A68" s="201"/>
      <c r="B68" s="202">
        <f t="shared" si="15"/>
        <v>0.96319444444444413</v>
      </c>
      <c r="C68" s="202">
        <f t="shared" si="16"/>
        <v>1.0048611111111108</v>
      </c>
      <c r="D68" s="203"/>
      <c r="E68" s="216"/>
      <c r="F68" s="215"/>
      <c r="G68" s="215"/>
      <c r="H68" s="214"/>
      <c r="I68" s="207"/>
      <c r="J68" s="207"/>
      <c r="K68" s="208">
        <f t="shared" si="4"/>
        <v>0</v>
      </c>
      <c r="L68" s="209"/>
      <c r="M68" s="210"/>
      <c r="N68" s="211"/>
      <c r="O68" s="212" t="str">
        <f t="shared" si="3"/>
        <v>Никишова</v>
      </c>
      <c r="P68" s="204"/>
      <c r="Q68" s="213"/>
      <c r="R68" s="303"/>
      <c r="S68" s="198">
        <f t="shared" si="5"/>
        <v>0</v>
      </c>
      <c r="T68" s="198">
        <f t="shared" si="6"/>
        <v>0</v>
      </c>
      <c r="U68" s="198">
        <f t="shared" si="7"/>
        <v>0</v>
      </c>
      <c r="V68" s="198">
        <f t="shared" si="8"/>
        <v>0</v>
      </c>
      <c r="W68" s="198">
        <f t="shared" si="9"/>
        <v>0</v>
      </c>
      <c r="X68" s="198">
        <f t="shared" si="10"/>
        <v>0</v>
      </c>
      <c r="Y68" s="198">
        <f t="shared" si="11"/>
        <v>0</v>
      </c>
      <c r="Z68" s="198">
        <f t="shared" si="12"/>
        <v>0</v>
      </c>
      <c r="AB68" s="360"/>
    </row>
    <row r="69" spans="1:28" s="359" customFormat="1" ht="29.25" customHeight="1" thickBot="1">
      <c r="A69" s="218"/>
      <c r="B69" s="219">
        <f t="shared" si="15"/>
        <v>1.0048611111111108</v>
      </c>
      <c r="C69" s="219">
        <f t="shared" si="16"/>
        <v>1.0465277777777775</v>
      </c>
      <c r="D69" s="230"/>
      <c r="E69" s="221"/>
      <c r="F69" s="222"/>
      <c r="G69" s="222"/>
      <c r="H69" s="231"/>
      <c r="I69" s="223"/>
      <c r="J69" s="223"/>
      <c r="K69" s="224">
        <f t="shared" si="4"/>
        <v>0</v>
      </c>
      <c r="L69" s="225"/>
      <c r="M69" s="226"/>
      <c r="N69" s="227"/>
      <c r="O69" s="204" t="str">
        <f t="shared" si="3"/>
        <v>Никишова</v>
      </c>
      <c r="P69" s="228"/>
      <c r="Q69" s="229"/>
      <c r="R69" s="303"/>
      <c r="S69" s="198">
        <f t="shared" si="5"/>
        <v>0</v>
      </c>
      <c r="T69" s="198">
        <f t="shared" si="6"/>
        <v>0</v>
      </c>
      <c r="U69" s="198">
        <f t="shared" si="7"/>
        <v>0</v>
      </c>
      <c r="V69" s="198">
        <f t="shared" si="8"/>
        <v>0</v>
      </c>
      <c r="W69" s="198">
        <f t="shared" si="9"/>
        <v>0</v>
      </c>
      <c r="X69" s="198">
        <f t="shared" si="10"/>
        <v>0</v>
      </c>
      <c r="Y69" s="198">
        <f t="shared" si="11"/>
        <v>0</v>
      </c>
      <c r="Z69" s="198">
        <f t="shared" si="12"/>
        <v>0</v>
      </c>
      <c r="AB69" s="360"/>
    </row>
    <row r="70" spans="1:28" s="359" customFormat="1" ht="29.25" customHeight="1" thickBot="1">
      <c r="A70" s="184" t="str">
        <f>A39</f>
        <v>Мохито</v>
      </c>
      <c r="B70" s="185">
        <f>B25</f>
        <v>0.75694444444444453</v>
      </c>
      <c r="C70" s="185">
        <f>B70+1/24</f>
        <v>0.79861111111111116</v>
      </c>
      <c r="D70" s="186"/>
      <c r="E70" s="187"/>
      <c r="F70" s="188" t="s">
        <v>163</v>
      </c>
      <c r="G70" s="189"/>
      <c r="H70" s="190" t="s">
        <v>23</v>
      </c>
      <c r="I70" s="191">
        <v>0.75694444444444453</v>
      </c>
      <c r="J70" s="191">
        <v>0.78125</v>
      </c>
      <c r="K70" s="192">
        <f t="shared" si="4"/>
        <v>34.999999999999872</v>
      </c>
      <c r="L70" s="193" t="s">
        <v>164</v>
      </c>
      <c r="M70" s="194"/>
      <c r="N70" s="195"/>
      <c r="O70" s="196" t="str">
        <f t="shared" si="3"/>
        <v/>
      </c>
      <c r="P70" s="187"/>
      <c r="Q70" s="197"/>
      <c r="R70" s="303"/>
      <c r="S70" s="198">
        <f t="shared" si="5"/>
        <v>0</v>
      </c>
      <c r="T70" s="198">
        <f t="shared" si="6"/>
        <v>0</v>
      </c>
      <c r="U70" s="198">
        <f t="shared" si="7"/>
        <v>0</v>
      </c>
      <c r="V70" s="198">
        <f t="shared" si="8"/>
        <v>34.999999999999872</v>
      </c>
      <c r="W70" s="198">
        <f t="shared" si="9"/>
        <v>0</v>
      </c>
      <c r="X70" s="198">
        <f t="shared" si="10"/>
        <v>0</v>
      </c>
      <c r="Y70" s="198">
        <f t="shared" si="11"/>
        <v>0</v>
      </c>
      <c r="Z70" s="198">
        <f t="shared" si="12"/>
        <v>0</v>
      </c>
      <c r="AB70" s="360"/>
    </row>
    <row r="71" spans="1:28" s="359" customFormat="1" ht="29.25" customHeight="1">
      <c r="A71" s="201"/>
      <c r="B71" s="202">
        <f>C70</f>
        <v>0.79861111111111116</v>
      </c>
      <c r="C71" s="202">
        <f>B71+1/24</f>
        <v>0.84027777777777779</v>
      </c>
      <c r="D71" s="203"/>
      <c r="E71" s="204"/>
      <c r="F71" s="188" t="s">
        <v>158</v>
      </c>
      <c r="G71" s="189"/>
      <c r="H71" s="190" t="s">
        <v>6</v>
      </c>
      <c r="I71" s="207">
        <v>0.78125</v>
      </c>
      <c r="J71" s="207">
        <v>0.78819444444444453</v>
      </c>
      <c r="K71" s="208">
        <f t="shared" si="4"/>
        <v>10.000000000000124</v>
      </c>
      <c r="L71" s="209"/>
      <c r="M71" s="210"/>
      <c r="N71" s="211"/>
      <c r="O71" s="212" t="str">
        <f t="shared" si="3"/>
        <v/>
      </c>
      <c r="P71" s="204"/>
      <c r="Q71" s="213"/>
      <c r="R71" s="303"/>
      <c r="S71" s="198">
        <f t="shared" si="5"/>
        <v>10.000000000000124</v>
      </c>
      <c r="T71" s="198">
        <f t="shared" si="6"/>
        <v>0</v>
      </c>
      <c r="U71" s="198">
        <f t="shared" si="7"/>
        <v>0</v>
      </c>
      <c r="V71" s="198">
        <f t="shared" si="8"/>
        <v>0</v>
      </c>
      <c r="W71" s="198">
        <f t="shared" si="9"/>
        <v>0</v>
      </c>
      <c r="X71" s="198">
        <f t="shared" si="10"/>
        <v>0</v>
      </c>
      <c r="Y71" s="198">
        <f t="shared" si="11"/>
        <v>0</v>
      </c>
      <c r="Z71" s="198">
        <f t="shared" si="12"/>
        <v>0</v>
      </c>
      <c r="AB71" s="360"/>
    </row>
    <row r="72" spans="1:28" s="359" customFormat="1" ht="29.25" customHeight="1">
      <c r="A72" s="201"/>
      <c r="B72" s="202">
        <f t="shared" ref="B72:B80" si="17">C71</f>
        <v>0.84027777777777779</v>
      </c>
      <c r="C72" s="202">
        <f t="shared" ref="C72:C80" si="18">B72+1/24</f>
        <v>0.88194444444444442</v>
      </c>
      <c r="D72" s="203"/>
      <c r="E72" s="204"/>
      <c r="F72" s="205" t="s">
        <v>159</v>
      </c>
      <c r="G72" s="206"/>
      <c r="H72" s="214" t="s">
        <v>29</v>
      </c>
      <c r="I72" s="207">
        <v>0.78819444444444453</v>
      </c>
      <c r="J72" s="207">
        <v>0.79513888888888884</v>
      </c>
      <c r="K72" s="208">
        <f t="shared" si="4"/>
        <v>9.9999999999998046</v>
      </c>
      <c r="L72" s="209"/>
      <c r="M72" s="210"/>
      <c r="N72" s="211"/>
      <c r="O72" s="212" t="str">
        <f t="shared" si="3"/>
        <v/>
      </c>
      <c r="P72" s="204"/>
      <c r="Q72" s="213"/>
      <c r="R72" s="303"/>
      <c r="S72" s="198">
        <f t="shared" si="5"/>
        <v>0</v>
      </c>
      <c r="T72" s="198">
        <f t="shared" si="6"/>
        <v>0</v>
      </c>
      <c r="U72" s="198">
        <f t="shared" si="7"/>
        <v>0</v>
      </c>
      <c r="V72" s="198">
        <f t="shared" si="8"/>
        <v>0</v>
      </c>
      <c r="W72" s="198">
        <f t="shared" si="9"/>
        <v>9.9999999999998046</v>
      </c>
      <c r="X72" s="198">
        <f t="shared" si="10"/>
        <v>0</v>
      </c>
      <c r="Y72" s="198">
        <f t="shared" si="11"/>
        <v>0</v>
      </c>
      <c r="Z72" s="198">
        <f t="shared" si="12"/>
        <v>0</v>
      </c>
      <c r="AB72" s="360"/>
    </row>
    <row r="73" spans="1:28" s="359" customFormat="1" ht="29.25" customHeight="1">
      <c r="A73" s="201"/>
      <c r="B73" s="202">
        <f t="shared" si="17"/>
        <v>0.88194444444444442</v>
      </c>
      <c r="C73" s="202">
        <f t="shared" si="18"/>
        <v>0.92361111111111105</v>
      </c>
      <c r="D73" s="203"/>
      <c r="E73" s="204"/>
      <c r="F73" s="215"/>
      <c r="G73" s="215"/>
      <c r="H73" s="214"/>
      <c r="I73" s="207"/>
      <c r="J73" s="207"/>
      <c r="K73" s="208">
        <f t="shared" si="4"/>
        <v>0</v>
      </c>
      <c r="L73" s="209"/>
      <c r="M73" s="210"/>
      <c r="N73" s="211"/>
      <c r="O73" s="212" t="str">
        <f t="shared" si="3"/>
        <v>Никишова</v>
      </c>
      <c r="P73" s="204"/>
      <c r="Q73" s="213"/>
      <c r="R73" s="303"/>
      <c r="S73" s="198">
        <f t="shared" si="5"/>
        <v>0</v>
      </c>
      <c r="T73" s="198">
        <f t="shared" si="6"/>
        <v>0</v>
      </c>
      <c r="U73" s="198">
        <f t="shared" si="7"/>
        <v>0</v>
      </c>
      <c r="V73" s="198">
        <f t="shared" si="8"/>
        <v>0</v>
      </c>
      <c r="W73" s="198">
        <f t="shared" si="9"/>
        <v>0</v>
      </c>
      <c r="X73" s="198">
        <f t="shared" si="10"/>
        <v>0</v>
      </c>
      <c r="Y73" s="198">
        <f t="shared" si="11"/>
        <v>0</v>
      </c>
      <c r="Z73" s="198">
        <f t="shared" si="12"/>
        <v>0</v>
      </c>
      <c r="AB73" s="360"/>
    </row>
    <row r="74" spans="1:28" s="359" customFormat="1" ht="29.25" customHeight="1">
      <c r="A74" s="201"/>
      <c r="B74" s="202">
        <f t="shared" si="17"/>
        <v>0.92361111111111105</v>
      </c>
      <c r="C74" s="202">
        <f t="shared" si="18"/>
        <v>0.96527777777777768</v>
      </c>
      <c r="D74" s="203"/>
      <c r="E74" s="204"/>
      <c r="F74" s="215"/>
      <c r="G74" s="215"/>
      <c r="H74" s="214"/>
      <c r="I74" s="207"/>
      <c r="J74" s="207"/>
      <c r="K74" s="208">
        <f t="shared" si="4"/>
        <v>0</v>
      </c>
      <c r="L74" s="209"/>
      <c r="M74" s="210"/>
      <c r="N74" s="211"/>
      <c r="O74" s="212" t="str">
        <f t="shared" si="3"/>
        <v>Никишова</v>
      </c>
      <c r="P74" s="204"/>
      <c r="Q74" s="213"/>
      <c r="R74" s="303"/>
      <c r="S74" s="198">
        <f t="shared" si="5"/>
        <v>0</v>
      </c>
      <c r="T74" s="198">
        <f t="shared" si="6"/>
        <v>0</v>
      </c>
      <c r="U74" s="198">
        <f t="shared" si="7"/>
        <v>0</v>
      </c>
      <c r="V74" s="198">
        <f t="shared" si="8"/>
        <v>0</v>
      </c>
      <c r="W74" s="198">
        <f t="shared" si="9"/>
        <v>0</v>
      </c>
      <c r="X74" s="198">
        <f t="shared" si="10"/>
        <v>0</v>
      </c>
      <c r="Y74" s="198">
        <f t="shared" si="11"/>
        <v>0</v>
      </c>
      <c r="Z74" s="198">
        <f t="shared" si="12"/>
        <v>0</v>
      </c>
      <c r="AB74" s="360"/>
    </row>
    <row r="75" spans="1:28" s="359" customFormat="1" ht="29.25" customHeight="1">
      <c r="A75" s="201"/>
      <c r="B75" s="202">
        <f t="shared" si="17"/>
        <v>0.96527777777777768</v>
      </c>
      <c r="C75" s="202">
        <f t="shared" si="18"/>
        <v>1.0069444444444444</v>
      </c>
      <c r="D75" s="203"/>
      <c r="E75" s="204"/>
      <c r="F75" s="215"/>
      <c r="G75" s="215"/>
      <c r="H75" s="214"/>
      <c r="I75" s="207"/>
      <c r="J75" s="207"/>
      <c r="K75" s="208">
        <f t="shared" si="4"/>
        <v>0</v>
      </c>
      <c r="L75" s="209"/>
      <c r="M75" s="210"/>
      <c r="N75" s="211"/>
      <c r="O75" s="212" t="str">
        <f t="shared" si="3"/>
        <v>Никишова</v>
      </c>
      <c r="P75" s="204"/>
      <c r="Q75" s="213"/>
      <c r="R75" s="303"/>
      <c r="S75" s="198">
        <f t="shared" si="5"/>
        <v>0</v>
      </c>
      <c r="T75" s="198">
        <f t="shared" si="6"/>
        <v>0</v>
      </c>
      <c r="U75" s="198">
        <f t="shared" si="7"/>
        <v>0</v>
      </c>
      <c r="V75" s="198">
        <f t="shared" si="8"/>
        <v>0</v>
      </c>
      <c r="W75" s="198">
        <f t="shared" si="9"/>
        <v>0</v>
      </c>
      <c r="X75" s="198">
        <f t="shared" si="10"/>
        <v>0</v>
      </c>
      <c r="Y75" s="198">
        <f t="shared" si="11"/>
        <v>0</v>
      </c>
      <c r="Z75" s="198">
        <f t="shared" si="12"/>
        <v>0</v>
      </c>
      <c r="AB75" s="360"/>
    </row>
    <row r="76" spans="1:28" s="359" customFormat="1" ht="29.25" customHeight="1">
      <c r="A76" s="201"/>
      <c r="B76" s="202">
        <f t="shared" si="17"/>
        <v>1.0069444444444444</v>
      </c>
      <c r="C76" s="202">
        <f t="shared" si="18"/>
        <v>1.0486111111111112</v>
      </c>
      <c r="D76" s="203"/>
      <c r="E76" s="216"/>
      <c r="F76" s="215"/>
      <c r="G76" s="215"/>
      <c r="H76" s="214"/>
      <c r="I76" s="207"/>
      <c r="J76" s="207"/>
      <c r="K76" s="208">
        <f t="shared" si="4"/>
        <v>0</v>
      </c>
      <c r="L76" s="209"/>
      <c r="M76" s="210"/>
      <c r="N76" s="211"/>
      <c r="O76" s="212" t="str">
        <f t="shared" si="3"/>
        <v>Никишова</v>
      </c>
      <c r="P76" s="204"/>
      <c r="Q76" s="213"/>
      <c r="R76" s="303"/>
      <c r="S76" s="198">
        <f t="shared" si="5"/>
        <v>0</v>
      </c>
      <c r="T76" s="198">
        <f t="shared" si="6"/>
        <v>0</v>
      </c>
      <c r="U76" s="198">
        <f t="shared" si="7"/>
        <v>0</v>
      </c>
      <c r="V76" s="198">
        <f t="shared" si="8"/>
        <v>0</v>
      </c>
      <c r="W76" s="198">
        <f t="shared" si="9"/>
        <v>0</v>
      </c>
      <c r="X76" s="198">
        <f t="shared" si="10"/>
        <v>0</v>
      </c>
      <c r="Y76" s="198">
        <f t="shared" si="11"/>
        <v>0</v>
      </c>
      <c r="Z76" s="198">
        <f t="shared" si="12"/>
        <v>0</v>
      </c>
      <c r="AB76" s="360"/>
    </row>
    <row r="77" spans="1:28" s="359" customFormat="1" ht="29.25" customHeight="1">
      <c r="A77" s="201"/>
      <c r="B77" s="202">
        <f t="shared" si="17"/>
        <v>1.0486111111111112</v>
      </c>
      <c r="C77" s="202">
        <f t="shared" si="18"/>
        <v>1.0902777777777779</v>
      </c>
      <c r="D77" s="203"/>
      <c r="E77" s="216"/>
      <c r="F77" s="205"/>
      <c r="G77" s="206"/>
      <c r="H77" s="214"/>
      <c r="I77" s="207"/>
      <c r="J77" s="207"/>
      <c r="K77" s="208">
        <f t="shared" si="4"/>
        <v>0</v>
      </c>
      <c r="L77" s="209"/>
      <c r="M77" s="210"/>
      <c r="N77" s="211"/>
      <c r="O77" s="212" t="str">
        <f t="shared" si="3"/>
        <v>Никишова</v>
      </c>
      <c r="P77" s="204"/>
      <c r="Q77" s="213"/>
      <c r="R77" s="303"/>
      <c r="S77" s="198">
        <f t="shared" si="5"/>
        <v>0</v>
      </c>
      <c r="T77" s="198">
        <f t="shared" si="6"/>
        <v>0</v>
      </c>
      <c r="U77" s="198">
        <f t="shared" si="7"/>
        <v>0</v>
      </c>
      <c r="V77" s="198">
        <f t="shared" si="8"/>
        <v>0</v>
      </c>
      <c r="W77" s="198">
        <f t="shared" si="9"/>
        <v>0</v>
      </c>
      <c r="X77" s="198">
        <f t="shared" si="10"/>
        <v>0</v>
      </c>
      <c r="Y77" s="198">
        <f t="shared" si="11"/>
        <v>0</v>
      </c>
      <c r="Z77" s="198">
        <f t="shared" si="12"/>
        <v>0</v>
      </c>
      <c r="AB77" s="360"/>
    </row>
    <row r="78" spans="1:28" s="359" customFormat="1" ht="29.25" customHeight="1">
      <c r="A78" s="201"/>
      <c r="B78" s="202">
        <f t="shared" si="17"/>
        <v>1.0902777777777779</v>
      </c>
      <c r="C78" s="202">
        <f t="shared" si="18"/>
        <v>1.1319444444444446</v>
      </c>
      <c r="D78" s="203"/>
      <c r="E78" s="216"/>
      <c r="F78" s="205"/>
      <c r="G78" s="206"/>
      <c r="H78" s="214"/>
      <c r="I78" s="207"/>
      <c r="J78" s="207"/>
      <c r="K78" s="208">
        <f t="shared" si="4"/>
        <v>0</v>
      </c>
      <c r="L78" s="209"/>
      <c r="M78" s="210"/>
      <c r="N78" s="211"/>
      <c r="O78" s="212" t="str">
        <f t="shared" si="3"/>
        <v>Никишова</v>
      </c>
      <c r="P78" s="204"/>
      <c r="Q78" s="213"/>
      <c r="R78" s="303"/>
      <c r="S78" s="198">
        <f t="shared" si="5"/>
        <v>0</v>
      </c>
      <c r="T78" s="198">
        <f t="shared" si="6"/>
        <v>0</v>
      </c>
      <c r="U78" s="198">
        <f t="shared" si="7"/>
        <v>0</v>
      </c>
      <c r="V78" s="198">
        <f t="shared" si="8"/>
        <v>0</v>
      </c>
      <c r="W78" s="198">
        <f t="shared" si="9"/>
        <v>0</v>
      </c>
      <c r="X78" s="198">
        <f t="shared" si="10"/>
        <v>0</v>
      </c>
      <c r="Y78" s="198">
        <f t="shared" si="11"/>
        <v>0</v>
      </c>
      <c r="Z78" s="198">
        <f t="shared" si="12"/>
        <v>0</v>
      </c>
      <c r="AB78" s="360"/>
    </row>
    <row r="79" spans="1:28" ht="29.25" customHeight="1">
      <c r="A79" s="201"/>
      <c r="B79" s="202">
        <f t="shared" si="17"/>
        <v>1.1319444444444446</v>
      </c>
      <c r="C79" s="202">
        <f t="shared" si="18"/>
        <v>1.1736111111111114</v>
      </c>
      <c r="D79" s="203"/>
      <c r="E79" s="216"/>
      <c r="F79" s="215"/>
      <c r="G79" s="215"/>
      <c r="H79" s="214"/>
      <c r="I79" s="207"/>
      <c r="J79" s="207"/>
      <c r="K79" s="208">
        <f t="shared" si="4"/>
        <v>0</v>
      </c>
      <c r="L79" s="209"/>
      <c r="M79" s="210"/>
      <c r="N79" s="211"/>
      <c r="O79" s="212" t="str">
        <f t="shared" si="3"/>
        <v>Никишова</v>
      </c>
      <c r="P79" s="204"/>
      <c r="Q79" s="213"/>
      <c r="S79" s="198">
        <f t="shared" si="5"/>
        <v>0</v>
      </c>
      <c r="T79" s="198">
        <f t="shared" si="6"/>
        <v>0</v>
      </c>
      <c r="U79" s="198">
        <f t="shared" si="7"/>
        <v>0</v>
      </c>
      <c r="V79" s="198">
        <f t="shared" si="8"/>
        <v>0</v>
      </c>
      <c r="W79" s="198">
        <f t="shared" si="9"/>
        <v>0</v>
      </c>
      <c r="X79" s="198">
        <f t="shared" si="10"/>
        <v>0</v>
      </c>
      <c r="Y79" s="198">
        <f t="shared" si="11"/>
        <v>0</v>
      </c>
      <c r="Z79" s="198">
        <f t="shared" si="12"/>
        <v>0</v>
      </c>
      <c r="AB79" s="360"/>
    </row>
    <row r="80" spans="1:28" ht="29.25" customHeight="1" thickBot="1">
      <c r="A80" s="218"/>
      <c r="B80" s="219">
        <f t="shared" si="17"/>
        <v>1.1736111111111114</v>
      </c>
      <c r="C80" s="219">
        <f t="shared" si="18"/>
        <v>1.2152777777777781</v>
      </c>
      <c r="D80" s="230"/>
      <c r="E80" s="221"/>
      <c r="F80" s="222"/>
      <c r="G80" s="222"/>
      <c r="H80" s="231"/>
      <c r="I80" s="223"/>
      <c r="J80" s="223"/>
      <c r="K80" s="224">
        <f t="shared" si="4"/>
        <v>0</v>
      </c>
      <c r="L80" s="225"/>
      <c r="M80" s="226"/>
      <c r="N80" s="227"/>
      <c r="O80" s="204" t="str">
        <f t="shared" si="3"/>
        <v>Никишова</v>
      </c>
      <c r="P80" s="228"/>
      <c r="Q80" s="229"/>
      <c r="S80" s="198">
        <f t="shared" si="5"/>
        <v>0</v>
      </c>
      <c r="T80" s="198">
        <f t="shared" si="6"/>
        <v>0</v>
      </c>
      <c r="U80" s="198">
        <f t="shared" si="7"/>
        <v>0</v>
      </c>
      <c r="V80" s="198">
        <f t="shared" si="8"/>
        <v>0</v>
      </c>
      <c r="W80" s="198">
        <f t="shared" si="9"/>
        <v>0</v>
      </c>
      <c r="X80" s="198">
        <f t="shared" si="10"/>
        <v>0</v>
      </c>
      <c r="Y80" s="198">
        <f t="shared" si="11"/>
        <v>0</v>
      </c>
      <c r="Z80" s="198">
        <f t="shared" si="12"/>
        <v>0</v>
      </c>
      <c r="AB80" s="360"/>
    </row>
    <row r="81" spans="1:28" ht="29.25" customHeight="1">
      <c r="A81" s="184">
        <f>A40</f>
        <v>0</v>
      </c>
      <c r="B81" s="185">
        <f>B27</f>
        <v>0</v>
      </c>
      <c r="C81" s="185">
        <f>B81+1/24</f>
        <v>4.1666666666666664E-2</v>
      </c>
      <c r="D81" s="186"/>
      <c r="E81" s="187"/>
      <c r="F81" s="188"/>
      <c r="G81" s="189"/>
      <c r="H81" s="190"/>
      <c r="I81" s="191"/>
      <c r="J81" s="191"/>
      <c r="K81" s="192">
        <f t="shared" si="4"/>
        <v>0</v>
      </c>
      <c r="L81" s="193"/>
      <c r="M81" s="194"/>
      <c r="N81" s="195"/>
      <c r="O81" s="196" t="str">
        <f t="shared" si="3"/>
        <v>Никишова</v>
      </c>
      <c r="P81" s="187"/>
      <c r="Q81" s="197"/>
      <c r="S81" s="198">
        <f t="shared" si="5"/>
        <v>0</v>
      </c>
      <c r="T81" s="198">
        <f t="shared" si="6"/>
        <v>0</v>
      </c>
      <c r="U81" s="198">
        <f t="shared" si="7"/>
        <v>0</v>
      </c>
      <c r="V81" s="198">
        <f t="shared" si="8"/>
        <v>0</v>
      </c>
      <c r="W81" s="198">
        <f t="shared" si="9"/>
        <v>0</v>
      </c>
      <c r="X81" s="198">
        <f t="shared" si="10"/>
        <v>0</v>
      </c>
      <c r="Y81" s="198">
        <f t="shared" si="11"/>
        <v>0</v>
      </c>
      <c r="Z81" s="198">
        <f t="shared" si="12"/>
        <v>0</v>
      </c>
      <c r="AB81" s="360"/>
    </row>
    <row r="82" spans="1:28" ht="29.25" customHeight="1">
      <c r="A82" s="201"/>
      <c r="B82" s="202">
        <f>C81</f>
        <v>4.1666666666666664E-2</v>
      </c>
      <c r="C82" s="202">
        <f>B82+1/24</f>
        <v>8.3333333333333329E-2</v>
      </c>
      <c r="D82" s="203"/>
      <c r="E82" s="204"/>
      <c r="F82" s="205"/>
      <c r="G82" s="206"/>
      <c r="H82" s="214"/>
      <c r="I82" s="207"/>
      <c r="J82" s="207"/>
      <c r="K82" s="208">
        <f t="shared" si="4"/>
        <v>0</v>
      </c>
      <c r="L82" s="209"/>
      <c r="M82" s="210"/>
      <c r="N82" s="211"/>
      <c r="O82" s="212" t="str">
        <f t="shared" si="3"/>
        <v>Никишова</v>
      </c>
      <c r="P82" s="204"/>
      <c r="Q82" s="213"/>
      <c r="S82" s="198">
        <f t="shared" si="5"/>
        <v>0</v>
      </c>
      <c r="T82" s="198">
        <f t="shared" si="6"/>
        <v>0</v>
      </c>
      <c r="U82" s="198">
        <f t="shared" si="7"/>
        <v>0</v>
      </c>
      <c r="V82" s="198">
        <f t="shared" si="8"/>
        <v>0</v>
      </c>
      <c r="W82" s="198">
        <f t="shared" si="9"/>
        <v>0</v>
      </c>
      <c r="X82" s="198">
        <f t="shared" si="10"/>
        <v>0</v>
      </c>
      <c r="Y82" s="198">
        <f t="shared" si="11"/>
        <v>0</v>
      </c>
      <c r="Z82" s="198">
        <f t="shared" si="12"/>
        <v>0</v>
      </c>
      <c r="AB82" s="360"/>
    </row>
    <row r="83" spans="1:28" ht="29.25" customHeight="1">
      <c r="A83" s="201"/>
      <c r="B83" s="202">
        <f t="shared" ref="B83:B91" si="19">C82</f>
        <v>8.3333333333333329E-2</v>
      </c>
      <c r="C83" s="202">
        <f t="shared" ref="C83:C91" si="20">B83+1/24</f>
        <v>0.125</v>
      </c>
      <c r="D83" s="203"/>
      <c r="E83" s="204"/>
      <c r="F83" s="215"/>
      <c r="G83" s="215"/>
      <c r="H83" s="214"/>
      <c r="I83" s="207"/>
      <c r="J83" s="207"/>
      <c r="K83" s="208">
        <f t="shared" si="4"/>
        <v>0</v>
      </c>
      <c r="L83" s="209"/>
      <c r="M83" s="210"/>
      <c r="N83" s="211"/>
      <c r="O83" s="212" t="str">
        <f t="shared" si="3"/>
        <v>Никишова</v>
      </c>
      <c r="P83" s="204"/>
      <c r="Q83" s="213"/>
      <c r="S83" s="198">
        <f t="shared" si="5"/>
        <v>0</v>
      </c>
      <c r="T83" s="198">
        <f t="shared" si="6"/>
        <v>0</v>
      </c>
      <c r="U83" s="198">
        <f t="shared" si="7"/>
        <v>0</v>
      </c>
      <c r="V83" s="198">
        <f t="shared" si="8"/>
        <v>0</v>
      </c>
      <c r="W83" s="198">
        <f t="shared" si="9"/>
        <v>0</v>
      </c>
      <c r="X83" s="198">
        <f t="shared" si="10"/>
        <v>0</v>
      </c>
      <c r="Y83" s="198">
        <f t="shared" si="11"/>
        <v>0</v>
      </c>
      <c r="Z83" s="198">
        <f t="shared" si="12"/>
        <v>0</v>
      </c>
      <c r="AB83" s="360"/>
    </row>
    <row r="84" spans="1:28" ht="29.25" customHeight="1">
      <c r="A84" s="201"/>
      <c r="B84" s="202">
        <f t="shared" si="19"/>
        <v>0.125</v>
      </c>
      <c r="C84" s="202">
        <f t="shared" si="20"/>
        <v>0.16666666666666666</v>
      </c>
      <c r="D84" s="203"/>
      <c r="E84" s="204"/>
      <c r="F84" s="215"/>
      <c r="G84" s="215"/>
      <c r="H84" s="214"/>
      <c r="I84" s="207"/>
      <c r="J84" s="207"/>
      <c r="K84" s="208">
        <f t="shared" si="4"/>
        <v>0</v>
      </c>
      <c r="L84" s="209"/>
      <c r="M84" s="210"/>
      <c r="N84" s="211"/>
      <c r="O84" s="212" t="str">
        <f t="shared" si="3"/>
        <v>Никишова</v>
      </c>
      <c r="P84" s="204"/>
      <c r="Q84" s="213"/>
      <c r="S84" s="198">
        <f t="shared" si="5"/>
        <v>0</v>
      </c>
      <c r="T84" s="198">
        <f t="shared" si="6"/>
        <v>0</v>
      </c>
      <c r="U84" s="198">
        <f t="shared" si="7"/>
        <v>0</v>
      </c>
      <c r="V84" s="198">
        <f t="shared" si="8"/>
        <v>0</v>
      </c>
      <c r="W84" s="198">
        <f t="shared" si="9"/>
        <v>0</v>
      </c>
      <c r="X84" s="198">
        <f t="shared" si="10"/>
        <v>0</v>
      </c>
      <c r="Y84" s="198">
        <f t="shared" si="11"/>
        <v>0</v>
      </c>
      <c r="Z84" s="198">
        <f t="shared" si="12"/>
        <v>0</v>
      </c>
      <c r="AB84" s="360"/>
    </row>
    <row r="85" spans="1:28" ht="29.25" customHeight="1">
      <c r="A85" s="201"/>
      <c r="B85" s="202">
        <f t="shared" si="19"/>
        <v>0.16666666666666666</v>
      </c>
      <c r="C85" s="202">
        <f t="shared" si="20"/>
        <v>0.20833333333333331</v>
      </c>
      <c r="D85" s="203"/>
      <c r="E85" s="204"/>
      <c r="F85" s="215"/>
      <c r="G85" s="215"/>
      <c r="H85" s="214"/>
      <c r="I85" s="207"/>
      <c r="J85" s="207"/>
      <c r="K85" s="208">
        <f t="shared" si="4"/>
        <v>0</v>
      </c>
      <c r="L85" s="209"/>
      <c r="M85" s="210"/>
      <c r="N85" s="211"/>
      <c r="O85" s="212" t="str">
        <f t="shared" si="3"/>
        <v>Никишова</v>
      </c>
      <c r="P85" s="204"/>
      <c r="Q85" s="213"/>
      <c r="S85" s="198">
        <f t="shared" si="5"/>
        <v>0</v>
      </c>
      <c r="T85" s="198">
        <f t="shared" si="6"/>
        <v>0</v>
      </c>
      <c r="U85" s="198">
        <f t="shared" si="7"/>
        <v>0</v>
      </c>
      <c r="V85" s="198">
        <f t="shared" si="8"/>
        <v>0</v>
      </c>
      <c r="W85" s="198">
        <f t="shared" si="9"/>
        <v>0</v>
      </c>
      <c r="X85" s="198">
        <f t="shared" si="10"/>
        <v>0</v>
      </c>
      <c r="Y85" s="198">
        <f t="shared" si="11"/>
        <v>0</v>
      </c>
      <c r="Z85" s="198">
        <f t="shared" si="12"/>
        <v>0</v>
      </c>
      <c r="AB85" s="360"/>
    </row>
    <row r="86" spans="1:28" ht="29.25" customHeight="1">
      <c r="A86" s="201"/>
      <c r="B86" s="202">
        <f t="shared" si="19"/>
        <v>0.20833333333333331</v>
      </c>
      <c r="C86" s="202">
        <f t="shared" si="20"/>
        <v>0.24999999999999997</v>
      </c>
      <c r="D86" s="203"/>
      <c r="E86" s="204"/>
      <c r="F86" s="215"/>
      <c r="G86" s="215"/>
      <c r="H86" s="214"/>
      <c r="I86" s="207"/>
      <c r="J86" s="207"/>
      <c r="K86" s="208">
        <f t="shared" si="4"/>
        <v>0</v>
      </c>
      <c r="L86" s="209"/>
      <c r="M86" s="210"/>
      <c r="N86" s="211"/>
      <c r="O86" s="212" t="str">
        <f t="shared" si="3"/>
        <v>Никишова</v>
      </c>
      <c r="P86" s="204"/>
      <c r="Q86" s="213"/>
      <c r="S86" s="198">
        <f t="shared" si="5"/>
        <v>0</v>
      </c>
      <c r="T86" s="198">
        <f t="shared" si="6"/>
        <v>0</v>
      </c>
      <c r="U86" s="198">
        <f t="shared" si="7"/>
        <v>0</v>
      </c>
      <c r="V86" s="198">
        <f t="shared" si="8"/>
        <v>0</v>
      </c>
      <c r="W86" s="198">
        <f t="shared" si="9"/>
        <v>0</v>
      </c>
      <c r="X86" s="198">
        <f t="shared" si="10"/>
        <v>0</v>
      </c>
      <c r="Y86" s="198">
        <f t="shared" si="11"/>
        <v>0</v>
      </c>
      <c r="Z86" s="198">
        <f t="shared" si="12"/>
        <v>0</v>
      </c>
      <c r="AB86" s="360"/>
    </row>
    <row r="87" spans="1:28" ht="29.25" customHeight="1">
      <c r="A87" s="201"/>
      <c r="B87" s="202">
        <f t="shared" si="19"/>
        <v>0.24999999999999997</v>
      </c>
      <c r="C87" s="202">
        <f t="shared" si="20"/>
        <v>0.29166666666666663</v>
      </c>
      <c r="D87" s="203"/>
      <c r="E87" s="216"/>
      <c r="F87" s="215"/>
      <c r="G87" s="215"/>
      <c r="H87" s="214"/>
      <c r="I87" s="207"/>
      <c r="J87" s="207"/>
      <c r="K87" s="208">
        <f t="shared" si="4"/>
        <v>0</v>
      </c>
      <c r="L87" s="209"/>
      <c r="M87" s="210"/>
      <c r="N87" s="211"/>
      <c r="O87" s="212" t="str">
        <f t="shared" si="3"/>
        <v>Никишова</v>
      </c>
      <c r="P87" s="204"/>
      <c r="Q87" s="213"/>
      <c r="S87" s="198">
        <f t="shared" si="5"/>
        <v>0</v>
      </c>
      <c r="T87" s="198">
        <f t="shared" si="6"/>
        <v>0</v>
      </c>
      <c r="U87" s="198">
        <f t="shared" si="7"/>
        <v>0</v>
      </c>
      <c r="V87" s="198">
        <f t="shared" si="8"/>
        <v>0</v>
      </c>
      <c r="W87" s="198">
        <f t="shared" si="9"/>
        <v>0</v>
      </c>
      <c r="X87" s="198">
        <f t="shared" si="10"/>
        <v>0</v>
      </c>
      <c r="Y87" s="198">
        <f t="shared" si="11"/>
        <v>0</v>
      </c>
      <c r="Z87" s="198">
        <f t="shared" si="12"/>
        <v>0</v>
      </c>
      <c r="AB87" s="360"/>
    </row>
    <row r="88" spans="1:28" ht="29.25" customHeight="1">
      <c r="A88" s="201"/>
      <c r="B88" s="202">
        <f t="shared" si="19"/>
        <v>0.29166666666666663</v>
      </c>
      <c r="C88" s="202">
        <f t="shared" si="20"/>
        <v>0.33333333333333331</v>
      </c>
      <c r="D88" s="203"/>
      <c r="E88" s="216"/>
      <c r="F88" s="205"/>
      <c r="G88" s="206"/>
      <c r="H88" s="214"/>
      <c r="I88" s="207"/>
      <c r="J88" s="207"/>
      <c r="K88" s="208">
        <f t="shared" si="4"/>
        <v>0</v>
      </c>
      <c r="L88" s="209"/>
      <c r="M88" s="210"/>
      <c r="N88" s="211"/>
      <c r="O88" s="212" t="str">
        <f t="shared" si="3"/>
        <v>Никишова</v>
      </c>
      <c r="P88" s="204"/>
      <c r="Q88" s="213"/>
      <c r="S88" s="198">
        <f t="shared" si="5"/>
        <v>0</v>
      </c>
      <c r="T88" s="198">
        <f t="shared" si="6"/>
        <v>0</v>
      </c>
      <c r="U88" s="198">
        <f t="shared" si="7"/>
        <v>0</v>
      </c>
      <c r="V88" s="198">
        <f t="shared" si="8"/>
        <v>0</v>
      </c>
      <c r="W88" s="198">
        <f t="shared" si="9"/>
        <v>0</v>
      </c>
      <c r="X88" s="198">
        <f t="shared" si="10"/>
        <v>0</v>
      </c>
      <c r="Y88" s="198">
        <f t="shared" si="11"/>
        <v>0</v>
      </c>
      <c r="Z88" s="198">
        <f t="shared" si="12"/>
        <v>0</v>
      </c>
      <c r="AB88" s="360"/>
    </row>
    <row r="89" spans="1:28" ht="29.25" customHeight="1">
      <c r="A89" s="201"/>
      <c r="B89" s="202">
        <f t="shared" si="19"/>
        <v>0.33333333333333331</v>
      </c>
      <c r="C89" s="202">
        <f t="shared" si="20"/>
        <v>0.375</v>
      </c>
      <c r="D89" s="203"/>
      <c r="E89" s="216"/>
      <c r="F89" s="205"/>
      <c r="G89" s="206"/>
      <c r="H89" s="214"/>
      <c r="I89" s="207"/>
      <c r="J89" s="207"/>
      <c r="K89" s="208">
        <f t="shared" si="4"/>
        <v>0</v>
      </c>
      <c r="L89" s="209"/>
      <c r="M89" s="210"/>
      <c r="N89" s="211"/>
      <c r="O89" s="212" t="str">
        <f t="shared" si="3"/>
        <v>Никишова</v>
      </c>
      <c r="P89" s="204"/>
      <c r="Q89" s="213"/>
      <c r="S89" s="198">
        <f t="shared" si="5"/>
        <v>0</v>
      </c>
      <c r="T89" s="198">
        <f t="shared" si="6"/>
        <v>0</v>
      </c>
      <c r="U89" s="198">
        <f t="shared" si="7"/>
        <v>0</v>
      </c>
      <c r="V89" s="198">
        <f t="shared" si="8"/>
        <v>0</v>
      </c>
      <c r="W89" s="198">
        <f t="shared" si="9"/>
        <v>0</v>
      </c>
      <c r="X89" s="198">
        <f t="shared" si="10"/>
        <v>0</v>
      </c>
      <c r="Y89" s="198">
        <f t="shared" si="11"/>
        <v>0</v>
      </c>
      <c r="Z89" s="198">
        <f t="shared" si="12"/>
        <v>0</v>
      </c>
      <c r="AB89" s="360"/>
    </row>
    <row r="90" spans="1:28" ht="29.25" customHeight="1">
      <c r="A90" s="201"/>
      <c r="B90" s="202">
        <f t="shared" si="19"/>
        <v>0.375</v>
      </c>
      <c r="C90" s="202">
        <f t="shared" si="20"/>
        <v>0.41666666666666669</v>
      </c>
      <c r="D90" s="203"/>
      <c r="E90" s="216"/>
      <c r="F90" s="215"/>
      <c r="G90" s="215"/>
      <c r="H90" s="214"/>
      <c r="I90" s="207"/>
      <c r="J90" s="207"/>
      <c r="K90" s="208">
        <f t="shared" si="4"/>
        <v>0</v>
      </c>
      <c r="L90" s="209"/>
      <c r="M90" s="210"/>
      <c r="N90" s="211"/>
      <c r="O90" s="212" t="str">
        <f t="shared" si="3"/>
        <v>Никишова</v>
      </c>
      <c r="P90" s="204"/>
      <c r="Q90" s="213"/>
      <c r="S90" s="198">
        <f t="shared" si="5"/>
        <v>0</v>
      </c>
      <c r="T90" s="198">
        <f t="shared" si="6"/>
        <v>0</v>
      </c>
      <c r="U90" s="198">
        <f t="shared" si="7"/>
        <v>0</v>
      </c>
      <c r="V90" s="198">
        <f t="shared" si="8"/>
        <v>0</v>
      </c>
      <c r="W90" s="198">
        <f t="shared" si="9"/>
        <v>0</v>
      </c>
      <c r="X90" s="198">
        <f t="shared" si="10"/>
        <v>0</v>
      </c>
      <c r="Y90" s="198">
        <f t="shared" si="11"/>
        <v>0</v>
      </c>
      <c r="Z90" s="198">
        <f t="shared" si="12"/>
        <v>0</v>
      </c>
      <c r="AB90" s="360"/>
    </row>
    <row r="91" spans="1:28" ht="29.25" customHeight="1" thickBot="1">
      <c r="A91" s="218"/>
      <c r="B91" s="219">
        <f t="shared" si="19"/>
        <v>0.41666666666666669</v>
      </c>
      <c r="C91" s="219">
        <f t="shared" si="20"/>
        <v>0.45833333333333337</v>
      </c>
      <c r="D91" s="230"/>
      <c r="E91" s="221"/>
      <c r="F91" s="222"/>
      <c r="G91" s="222"/>
      <c r="H91" s="231"/>
      <c r="I91" s="223"/>
      <c r="J91" s="223"/>
      <c r="K91" s="224">
        <f t="shared" si="4"/>
        <v>0</v>
      </c>
      <c r="L91" s="225"/>
      <c r="M91" s="226"/>
      <c r="N91" s="227"/>
      <c r="O91" s="204" t="str">
        <f t="shared" si="3"/>
        <v>Никишова</v>
      </c>
      <c r="P91" s="228"/>
      <c r="Q91" s="229"/>
      <c r="S91" s="198">
        <f t="shared" si="5"/>
        <v>0</v>
      </c>
      <c r="T91" s="198">
        <f t="shared" si="6"/>
        <v>0</v>
      </c>
      <c r="U91" s="198">
        <f t="shared" si="7"/>
        <v>0</v>
      </c>
      <c r="V91" s="198">
        <f t="shared" si="8"/>
        <v>0</v>
      </c>
      <c r="W91" s="198">
        <f t="shared" si="9"/>
        <v>0</v>
      </c>
      <c r="X91" s="198">
        <f t="shared" si="10"/>
        <v>0</v>
      </c>
      <c r="Y91" s="198">
        <f t="shared" si="11"/>
        <v>0</v>
      </c>
      <c r="Z91" s="198">
        <f t="shared" si="12"/>
        <v>0</v>
      </c>
      <c r="AB91" s="360"/>
    </row>
    <row r="92" spans="1:28" ht="29.25" customHeight="1">
      <c r="A92" s="201">
        <f>A41</f>
        <v>0</v>
      </c>
      <c r="B92" s="185">
        <f>B29</f>
        <v>0</v>
      </c>
      <c r="C92" s="185">
        <f>B92+1/24</f>
        <v>4.1666666666666664E-2</v>
      </c>
      <c r="D92" s="186"/>
      <c r="E92" s="187"/>
      <c r="F92" s="188"/>
      <c r="G92" s="189"/>
      <c r="H92" s="190"/>
      <c r="I92" s="191"/>
      <c r="J92" s="191"/>
      <c r="K92" s="192">
        <f t="shared" si="4"/>
        <v>0</v>
      </c>
      <c r="L92" s="193"/>
      <c r="M92" s="194"/>
      <c r="N92" s="195"/>
      <c r="O92" s="196" t="str">
        <f t="shared" si="3"/>
        <v>Никишова</v>
      </c>
      <c r="P92" s="187"/>
      <c r="Q92" s="197"/>
      <c r="S92" s="198">
        <f t="shared" si="5"/>
        <v>0</v>
      </c>
      <c r="T92" s="198">
        <f t="shared" si="6"/>
        <v>0</v>
      </c>
      <c r="U92" s="198">
        <f t="shared" si="7"/>
        <v>0</v>
      </c>
      <c r="V92" s="198">
        <f t="shared" si="8"/>
        <v>0</v>
      </c>
      <c r="W92" s="198">
        <f t="shared" si="9"/>
        <v>0</v>
      </c>
      <c r="X92" s="198">
        <f t="shared" si="10"/>
        <v>0</v>
      </c>
      <c r="Y92" s="198">
        <f t="shared" si="11"/>
        <v>0</v>
      </c>
      <c r="Z92" s="198">
        <f t="shared" si="12"/>
        <v>0</v>
      </c>
      <c r="AB92" s="360"/>
    </row>
    <row r="93" spans="1:28" ht="29.25" customHeight="1">
      <c r="A93" s="201"/>
      <c r="B93" s="202">
        <f>C92</f>
        <v>4.1666666666666664E-2</v>
      </c>
      <c r="C93" s="202">
        <f>B93+1/24</f>
        <v>8.3333333333333329E-2</v>
      </c>
      <c r="D93" s="203"/>
      <c r="E93" s="204"/>
      <c r="F93" s="205"/>
      <c r="G93" s="206"/>
      <c r="H93" s="214"/>
      <c r="I93" s="207"/>
      <c r="J93" s="207"/>
      <c r="K93" s="208">
        <f t="shared" si="4"/>
        <v>0</v>
      </c>
      <c r="L93" s="209"/>
      <c r="M93" s="210"/>
      <c r="N93" s="211"/>
      <c r="O93" s="212" t="str">
        <f t="shared" si="3"/>
        <v>Никишова</v>
      </c>
      <c r="P93" s="204"/>
      <c r="Q93" s="213"/>
      <c r="S93" s="198">
        <f t="shared" si="5"/>
        <v>0</v>
      </c>
      <c r="T93" s="198">
        <f t="shared" si="6"/>
        <v>0</v>
      </c>
      <c r="U93" s="198">
        <f t="shared" si="7"/>
        <v>0</v>
      </c>
      <c r="V93" s="198">
        <f t="shared" si="8"/>
        <v>0</v>
      </c>
      <c r="W93" s="198">
        <f t="shared" si="9"/>
        <v>0</v>
      </c>
      <c r="X93" s="198">
        <f t="shared" si="10"/>
        <v>0</v>
      </c>
      <c r="Y93" s="198">
        <f t="shared" si="11"/>
        <v>0</v>
      </c>
      <c r="Z93" s="198">
        <f t="shared" si="12"/>
        <v>0</v>
      </c>
      <c r="AB93" s="360"/>
    </row>
    <row r="94" spans="1:28" ht="29.25" customHeight="1">
      <c r="A94" s="201"/>
      <c r="B94" s="202">
        <f t="shared" ref="B94:B102" si="21">C93</f>
        <v>8.3333333333333329E-2</v>
      </c>
      <c r="C94" s="202">
        <f t="shared" ref="C94:C102" si="22">B94+1/24</f>
        <v>0.125</v>
      </c>
      <c r="D94" s="203"/>
      <c r="E94" s="204"/>
      <c r="F94" s="215"/>
      <c r="G94" s="215"/>
      <c r="H94" s="214"/>
      <c r="I94" s="207"/>
      <c r="J94" s="207"/>
      <c r="K94" s="208">
        <f t="shared" si="4"/>
        <v>0</v>
      </c>
      <c r="L94" s="209"/>
      <c r="M94" s="210"/>
      <c r="N94" s="211"/>
      <c r="O94" s="212" t="str">
        <f t="shared" si="3"/>
        <v>Никишова</v>
      </c>
      <c r="P94" s="204"/>
      <c r="Q94" s="213"/>
      <c r="S94" s="198">
        <f t="shared" si="5"/>
        <v>0</v>
      </c>
      <c r="T94" s="198">
        <f t="shared" si="6"/>
        <v>0</v>
      </c>
      <c r="U94" s="198">
        <f t="shared" si="7"/>
        <v>0</v>
      </c>
      <c r="V94" s="198">
        <f t="shared" si="8"/>
        <v>0</v>
      </c>
      <c r="W94" s="198">
        <f t="shared" si="9"/>
        <v>0</v>
      </c>
      <c r="X94" s="198">
        <f t="shared" si="10"/>
        <v>0</v>
      </c>
      <c r="Y94" s="198">
        <f t="shared" si="11"/>
        <v>0</v>
      </c>
      <c r="Z94" s="198">
        <f t="shared" si="12"/>
        <v>0</v>
      </c>
      <c r="AB94" s="360"/>
    </row>
    <row r="95" spans="1:28" ht="29.25" customHeight="1">
      <c r="A95" s="201"/>
      <c r="B95" s="202">
        <f t="shared" si="21"/>
        <v>0.125</v>
      </c>
      <c r="C95" s="202">
        <f t="shared" si="22"/>
        <v>0.16666666666666666</v>
      </c>
      <c r="D95" s="203"/>
      <c r="E95" s="204"/>
      <c r="F95" s="215"/>
      <c r="G95" s="215"/>
      <c r="H95" s="214"/>
      <c r="I95" s="207"/>
      <c r="J95" s="207"/>
      <c r="K95" s="208">
        <f t="shared" si="4"/>
        <v>0</v>
      </c>
      <c r="L95" s="209"/>
      <c r="M95" s="210"/>
      <c r="N95" s="211"/>
      <c r="O95" s="212" t="str">
        <f t="shared" si="3"/>
        <v>Никишова</v>
      </c>
      <c r="P95" s="204"/>
      <c r="Q95" s="213"/>
      <c r="S95" s="198">
        <f t="shared" si="5"/>
        <v>0</v>
      </c>
      <c r="T95" s="198">
        <f t="shared" si="6"/>
        <v>0</v>
      </c>
      <c r="U95" s="198">
        <f t="shared" si="7"/>
        <v>0</v>
      </c>
      <c r="V95" s="198">
        <f t="shared" si="8"/>
        <v>0</v>
      </c>
      <c r="W95" s="198">
        <f t="shared" si="9"/>
        <v>0</v>
      </c>
      <c r="X95" s="198">
        <f t="shared" si="10"/>
        <v>0</v>
      </c>
      <c r="Y95" s="198">
        <f t="shared" si="11"/>
        <v>0</v>
      </c>
      <c r="Z95" s="198">
        <f t="shared" si="12"/>
        <v>0</v>
      </c>
      <c r="AB95" s="360"/>
    </row>
    <row r="96" spans="1:28" ht="29.25" customHeight="1">
      <c r="A96" s="201"/>
      <c r="B96" s="202">
        <f t="shared" si="21"/>
        <v>0.16666666666666666</v>
      </c>
      <c r="C96" s="202">
        <f t="shared" si="22"/>
        <v>0.20833333333333331</v>
      </c>
      <c r="D96" s="203"/>
      <c r="E96" s="204"/>
      <c r="F96" s="215"/>
      <c r="G96" s="215"/>
      <c r="H96" s="214"/>
      <c r="I96" s="207"/>
      <c r="J96" s="207"/>
      <c r="K96" s="208">
        <f t="shared" si="4"/>
        <v>0</v>
      </c>
      <c r="L96" s="209"/>
      <c r="M96" s="210"/>
      <c r="N96" s="211"/>
      <c r="O96" s="212" t="str">
        <f t="shared" si="3"/>
        <v>Никишова</v>
      </c>
      <c r="P96" s="204"/>
      <c r="Q96" s="213"/>
      <c r="S96" s="198">
        <f t="shared" si="5"/>
        <v>0</v>
      </c>
      <c r="T96" s="198">
        <f t="shared" si="6"/>
        <v>0</v>
      </c>
      <c r="U96" s="198">
        <f t="shared" si="7"/>
        <v>0</v>
      </c>
      <c r="V96" s="198">
        <f t="shared" si="8"/>
        <v>0</v>
      </c>
      <c r="W96" s="198">
        <f t="shared" si="9"/>
        <v>0</v>
      </c>
      <c r="X96" s="198">
        <f t="shared" si="10"/>
        <v>0</v>
      </c>
      <c r="Y96" s="198">
        <f t="shared" si="11"/>
        <v>0</v>
      </c>
      <c r="Z96" s="198">
        <f t="shared" si="12"/>
        <v>0</v>
      </c>
      <c r="AB96" s="360"/>
    </row>
    <row r="97" spans="1:28" ht="29.25" customHeight="1">
      <c r="A97" s="201"/>
      <c r="B97" s="202">
        <f t="shared" si="21"/>
        <v>0.20833333333333331</v>
      </c>
      <c r="C97" s="202">
        <f t="shared" si="22"/>
        <v>0.24999999999999997</v>
      </c>
      <c r="D97" s="203"/>
      <c r="E97" s="204"/>
      <c r="F97" s="215"/>
      <c r="G97" s="215"/>
      <c r="H97" s="214"/>
      <c r="I97" s="207"/>
      <c r="J97" s="207"/>
      <c r="K97" s="208">
        <f t="shared" si="4"/>
        <v>0</v>
      </c>
      <c r="L97" s="209"/>
      <c r="M97" s="210"/>
      <c r="N97" s="211"/>
      <c r="O97" s="212" t="str">
        <f t="shared" si="3"/>
        <v>Никишова</v>
      </c>
      <c r="P97" s="204"/>
      <c r="Q97" s="213"/>
      <c r="S97" s="198">
        <f t="shared" si="5"/>
        <v>0</v>
      </c>
      <c r="T97" s="198">
        <f t="shared" si="6"/>
        <v>0</v>
      </c>
      <c r="U97" s="198">
        <f t="shared" si="7"/>
        <v>0</v>
      </c>
      <c r="V97" s="198">
        <f t="shared" si="8"/>
        <v>0</v>
      </c>
      <c r="W97" s="198">
        <f t="shared" si="9"/>
        <v>0</v>
      </c>
      <c r="X97" s="198">
        <f t="shared" si="10"/>
        <v>0</v>
      </c>
      <c r="Y97" s="198">
        <f t="shared" si="11"/>
        <v>0</v>
      </c>
      <c r="Z97" s="198">
        <f t="shared" si="12"/>
        <v>0</v>
      </c>
      <c r="AB97" s="360"/>
    </row>
    <row r="98" spans="1:28" ht="29.25" customHeight="1">
      <c r="A98" s="201"/>
      <c r="B98" s="202">
        <f t="shared" si="21"/>
        <v>0.24999999999999997</v>
      </c>
      <c r="C98" s="202">
        <f t="shared" si="22"/>
        <v>0.29166666666666663</v>
      </c>
      <c r="D98" s="203"/>
      <c r="E98" s="216"/>
      <c r="F98" s="215"/>
      <c r="G98" s="215"/>
      <c r="H98" s="214"/>
      <c r="I98" s="207"/>
      <c r="J98" s="207"/>
      <c r="K98" s="208">
        <f t="shared" si="4"/>
        <v>0</v>
      </c>
      <c r="L98" s="209"/>
      <c r="M98" s="210"/>
      <c r="N98" s="211"/>
      <c r="O98" s="212" t="str">
        <f t="shared" si="3"/>
        <v>Никишова</v>
      </c>
      <c r="P98" s="204"/>
      <c r="Q98" s="213"/>
      <c r="S98" s="198">
        <f t="shared" si="5"/>
        <v>0</v>
      </c>
      <c r="T98" s="198">
        <f t="shared" si="6"/>
        <v>0</v>
      </c>
      <c r="U98" s="198">
        <f t="shared" si="7"/>
        <v>0</v>
      </c>
      <c r="V98" s="198">
        <f t="shared" si="8"/>
        <v>0</v>
      </c>
      <c r="W98" s="198">
        <f t="shared" si="9"/>
        <v>0</v>
      </c>
      <c r="X98" s="198">
        <f t="shared" si="10"/>
        <v>0</v>
      </c>
      <c r="Y98" s="198">
        <f t="shared" si="11"/>
        <v>0</v>
      </c>
      <c r="Z98" s="198">
        <f t="shared" si="12"/>
        <v>0</v>
      </c>
      <c r="AB98" s="360"/>
    </row>
    <row r="99" spans="1:28" ht="29.25" customHeight="1">
      <c r="A99" s="201"/>
      <c r="B99" s="202">
        <f t="shared" si="21"/>
        <v>0.29166666666666663</v>
      </c>
      <c r="C99" s="202">
        <f t="shared" si="22"/>
        <v>0.33333333333333331</v>
      </c>
      <c r="D99" s="203"/>
      <c r="E99" s="216"/>
      <c r="F99" s="205"/>
      <c r="G99" s="206"/>
      <c r="H99" s="214"/>
      <c r="I99" s="207"/>
      <c r="J99" s="207"/>
      <c r="K99" s="208">
        <f t="shared" si="4"/>
        <v>0</v>
      </c>
      <c r="L99" s="209"/>
      <c r="M99" s="210"/>
      <c r="N99" s="211"/>
      <c r="O99" s="212" t="str">
        <f t="shared" si="3"/>
        <v>Никишова</v>
      </c>
      <c r="P99" s="204"/>
      <c r="Q99" s="213"/>
      <c r="S99" s="198">
        <f t="shared" si="5"/>
        <v>0</v>
      </c>
      <c r="T99" s="198">
        <f t="shared" si="6"/>
        <v>0</v>
      </c>
      <c r="U99" s="198">
        <f t="shared" si="7"/>
        <v>0</v>
      </c>
      <c r="V99" s="198">
        <f t="shared" si="8"/>
        <v>0</v>
      </c>
      <c r="W99" s="198">
        <f t="shared" si="9"/>
        <v>0</v>
      </c>
      <c r="X99" s="198">
        <f t="shared" si="10"/>
        <v>0</v>
      </c>
      <c r="Y99" s="198">
        <f t="shared" si="11"/>
        <v>0</v>
      </c>
      <c r="Z99" s="198">
        <f t="shared" si="12"/>
        <v>0</v>
      </c>
      <c r="AB99" s="360"/>
    </row>
    <row r="100" spans="1:28" ht="29.25" customHeight="1">
      <c r="A100" s="201"/>
      <c r="B100" s="202">
        <f t="shared" si="21"/>
        <v>0.33333333333333331</v>
      </c>
      <c r="C100" s="202">
        <f t="shared" si="22"/>
        <v>0.375</v>
      </c>
      <c r="D100" s="203"/>
      <c r="E100" s="216"/>
      <c r="F100" s="205"/>
      <c r="G100" s="206"/>
      <c r="H100" s="214"/>
      <c r="I100" s="207"/>
      <c r="J100" s="207"/>
      <c r="K100" s="208">
        <f t="shared" si="4"/>
        <v>0</v>
      </c>
      <c r="L100" s="209"/>
      <c r="M100" s="210"/>
      <c r="N100" s="211"/>
      <c r="O100" s="212" t="str">
        <f t="shared" si="3"/>
        <v>Никишова</v>
      </c>
      <c r="P100" s="204"/>
      <c r="Q100" s="213"/>
      <c r="S100" s="198">
        <f t="shared" si="5"/>
        <v>0</v>
      </c>
      <c r="T100" s="198">
        <f t="shared" si="6"/>
        <v>0</v>
      </c>
      <c r="U100" s="198">
        <f t="shared" si="7"/>
        <v>0</v>
      </c>
      <c r="V100" s="198">
        <f t="shared" si="8"/>
        <v>0</v>
      </c>
      <c r="W100" s="198">
        <f t="shared" si="9"/>
        <v>0</v>
      </c>
      <c r="X100" s="198">
        <f t="shared" si="10"/>
        <v>0</v>
      </c>
      <c r="Y100" s="198">
        <f t="shared" si="11"/>
        <v>0</v>
      </c>
      <c r="Z100" s="198">
        <f t="shared" si="12"/>
        <v>0</v>
      </c>
      <c r="AB100" s="360"/>
    </row>
    <row r="101" spans="1:28" ht="29.25" customHeight="1">
      <c r="A101" s="201"/>
      <c r="B101" s="202">
        <f t="shared" si="21"/>
        <v>0.375</v>
      </c>
      <c r="C101" s="202">
        <f t="shared" si="22"/>
        <v>0.41666666666666669</v>
      </c>
      <c r="D101" s="203"/>
      <c r="E101" s="216"/>
      <c r="F101" s="215"/>
      <c r="G101" s="215"/>
      <c r="H101" s="214"/>
      <c r="I101" s="207"/>
      <c r="J101" s="207"/>
      <c r="K101" s="208">
        <f t="shared" si="4"/>
        <v>0</v>
      </c>
      <c r="L101" s="209"/>
      <c r="M101" s="210"/>
      <c r="N101" s="211"/>
      <c r="O101" s="212" t="str">
        <f t="shared" si="3"/>
        <v>Никишова</v>
      </c>
      <c r="P101" s="204"/>
      <c r="Q101" s="213"/>
      <c r="S101" s="198">
        <f t="shared" si="5"/>
        <v>0</v>
      </c>
      <c r="T101" s="198">
        <f t="shared" si="6"/>
        <v>0</v>
      </c>
      <c r="U101" s="198">
        <f t="shared" si="7"/>
        <v>0</v>
      </c>
      <c r="V101" s="198">
        <f t="shared" si="8"/>
        <v>0</v>
      </c>
      <c r="W101" s="198">
        <f t="shared" si="9"/>
        <v>0</v>
      </c>
      <c r="X101" s="198">
        <f t="shared" si="10"/>
        <v>0</v>
      </c>
      <c r="Y101" s="198">
        <f t="shared" si="11"/>
        <v>0</v>
      </c>
      <c r="Z101" s="198">
        <f t="shared" si="12"/>
        <v>0</v>
      </c>
      <c r="AB101" s="360"/>
    </row>
    <row r="102" spans="1:28" ht="29.25" customHeight="1" thickBot="1">
      <c r="A102" s="218"/>
      <c r="B102" s="219">
        <f t="shared" si="21"/>
        <v>0.41666666666666669</v>
      </c>
      <c r="C102" s="219">
        <f t="shared" si="22"/>
        <v>0.45833333333333337</v>
      </c>
      <c r="D102" s="230"/>
      <c r="E102" s="221"/>
      <c r="F102" s="222"/>
      <c r="G102" s="222"/>
      <c r="H102" s="231"/>
      <c r="I102" s="223"/>
      <c r="J102" s="223"/>
      <c r="K102" s="224">
        <f t="shared" si="4"/>
        <v>0</v>
      </c>
      <c r="L102" s="225"/>
      <c r="M102" s="226"/>
      <c r="N102" s="227"/>
      <c r="O102" s="204" t="str">
        <f t="shared" si="3"/>
        <v>Никишова</v>
      </c>
      <c r="P102" s="228"/>
      <c r="Q102" s="229"/>
      <c r="S102" s="198">
        <f t="shared" si="5"/>
        <v>0</v>
      </c>
      <c r="T102" s="198">
        <f t="shared" si="6"/>
        <v>0</v>
      </c>
      <c r="U102" s="198">
        <f t="shared" si="7"/>
        <v>0</v>
      </c>
      <c r="V102" s="198">
        <f t="shared" si="8"/>
        <v>0</v>
      </c>
      <c r="W102" s="198">
        <f t="shared" si="9"/>
        <v>0</v>
      </c>
      <c r="X102" s="198">
        <f t="shared" si="10"/>
        <v>0</v>
      </c>
      <c r="Y102" s="198">
        <f t="shared" si="11"/>
        <v>0</v>
      </c>
      <c r="Z102" s="198">
        <f t="shared" si="12"/>
        <v>0</v>
      </c>
      <c r="AB102" s="360"/>
    </row>
    <row r="103" spans="1:28" ht="29.25" customHeight="1">
      <c r="A103" s="184">
        <f>A42</f>
        <v>0</v>
      </c>
      <c r="B103" s="185">
        <f>B31</f>
        <v>0</v>
      </c>
      <c r="C103" s="185">
        <f>B103+1/24</f>
        <v>4.1666666666666664E-2</v>
      </c>
      <c r="D103" s="186"/>
      <c r="E103" s="187"/>
      <c r="F103" s="188"/>
      <c r="G103" s="189"/>
      <c r="H103" s="190"/>
      <c r="I103" s="191"/>
      <c r="J103" s="191"/>
      <c r="K103" s="192">
        <f t="shared" si="4"/>
        <v>0</v>
      </c>
      <c r="L103" s="193"/>
      <c r="M103" s="194"/>
      <c r="N103" s="195"/>
      <c r="O103" s="196" t="str">
        <f t="shared" si="3"/>
        <v>Никишова</v>
      </c>
      <c r="P103" s="187"/>
      <c r="Q103" s="197"/>
      <c r="S103" s="198">
        <f t="shared" si="5"/>
        <v>0</v>
      </c>
      <c r="T103" s="198">
        <f t="shared" si="6"/>
        <v>0</v>
      </c>
      <c r="U103" s="198">
        <f t="shared" si="7"/>
        <v>0</v>
      </c>
      <c r="V103" s="198">
        <f t="shared" si="8"/>
        <v>0</v>
      </c>
      <c r="W103" s="198">
        <f t="shared" si="9"/>
        <v>0</v>
      </c>
      <c r="X103" s="198">
        <f t="shared" si="10"/>
        <v>0</v>
      </c>
      <c r="Y103" s="198">
        <f t="shared" si="11"/>
        <v>0</v>
      </c>
      <c r="Z103" s="198">
        <f t="shared" si="12"/>
        <v>0</v>
      </c>
      <c r="AB103" s="360"/>
    </row>
    <row r="104" spans="1:28" ht="29.25" customHeight="1">
      <c r="A104" s="201"/>
      <c r="B104" s="202">
        <f>C103</f>
        <v>4.1666666666666664E-2</v>
      </c>
      <c r="C104" s="202">
        <f>B104+1/24</f>
        <v>8.3333333333333329E-2</v>
      </c>
      <c r="D104" s="203"/>
      <c r="E104" s="204"/>
      <c r="F104" s="205"/>
      <c r="G104" s="206"/>
      <c r="H104" s="214"/>
      <c r="I104" s="207"/>
      <c r="J104" s="207"/>
      <c r="K104" s="208">
        <f t="shared" si="4"/>
        <v>0</v>
      </c>
      <c r="L104" s="209"/>
      <c r="M104" s="210"/>
      <c r="N104" s="211"/>
      <c r="O104" s="212" t="str">
        <f t="shared" si="3"/>
        <v>Никишова</v>
      </c>
      <c r="P104" s="204"/>
      <c r="Q104" s="213"/>
      <c r="S104" s="198">
        <f t="shared" si="5"/>
        <v>0</v>
      </c>
      <c r="T104" s="198">
        <f t="shared" si="6"/>
        <v>0</v>
      </c>
      <c r="U104" s="198">
        <f t="shared" si="7"/>
        <v>0</v>
      </c>
      <c r="V104" s="198">
        <f t="shared" si="8"/>
        <v>0</v>
      </c>
      <c r="W104" s="198">
        <f t="shared" si="9"/>
        <v>0</v>
      </c>
      <c r="X104" s="198">
        <f t="shared" si="10"/>
        <v>0</v>
      </c>
      <c r="Y104" s="198">
        <f t="shared" si="11"/>
        <v>0</v>
      </c>
      <c r="Z104" s="198">
        <f t="shared" si="12"/>
        <v>0</v>
      </c>
      <c r="AB104" s="360"/>
    </row>
    <row r="105" spans="1:28" ht="29.25" customHeight="1">
      <c r="A105" s="201"/>
      <c r="B105" s="202">
        <f t="shared" ref="B105:B113" si="23">C104</f>
        <v>8.3333333333333329E-2</v>
      </c>
      <c r="C105" s="202">
        <f t="shared" ref="C105:C113" si="24">B105+1/24</f>
        <v>0.125</v>
      </c>
      <c r="D105" s="203"/>
      <c r="E105" s="204"/>
      <c r="F105" s="215"/>
      <c r="G105" s="215"/>
      <c r="H105" s="214"/>
      <c r="I105" s="207"/>
      <c r="J105" s="207"/>
      <c r="K105" s="208">
        <f t="shared" si="4"/>
        <v>0</v>
      </c>
      <c r="L105" s="209"/>
      <c r="M105" s="210"/>
      <c r="N105" s="211"/>
      <c r="O105" s="212" t="str">
        <f t="shared" si="3"/>
        <v>Никишова</v>
      </c>
      <c r="P105" s="204"/>
      <c r="Q105" s="213"/>
      <c r="S105" s="198">
        <f t="shared" si="5"/>
        <v>0</v>
      </c>
      <c r="T105" s="198">
        <f t="shared" si="6"/>
        <v>0</v>
      </c>
      <c r="U105" s="198">
        <f t="shared" si="7"/>
        <v>0</v>
      </c>
      <c r="V105" s="198">
        <f t="shared" si="8"/>
        <v>0</v>
      </c>
      <c r="W105" s="198">
        <f t="shared" si="9"/>
        <v>0</v>
      </c>
      <c r="X105" s="198">
        <f t="shared" si="10"/>
        <v>0</v>
      </c>
      <c r="Y105" s="198">
        <f t="shared" si="11"/>
        <v>0</v>
      </c>
      <c r="Z105" s="198">
        <f t="shared" si="12"/>
        <v>0</v>
      </c>
      <c r="AB105" s="360"/>
    </row>
    <row r="106" spans="1:28" ht="29.25" customHeight="1">
      <c r="A106" s="201"/>
      <c r="B106" s="202">
        <f t="shared" si="23"/>
        <v>0.125</v>
      </c>
      <c r="C106" s="202">
        <f t="shared" si="24"/>
        <v>0.16666666666666666</v>
      </c>
      <c r="D106" s="203"/>
      <c r="E106" s="204"/>
      <c r="F106" s="215"/>
      <c r="G106" s="215"/>
      <c r="H106" s="214"/>
      <c r="I106" s="207"/>
      <c r="J106" s="207"/>
      <c r="K106" s="208">
        <f t="shared" si="4"/>
        <v>0</v>
      </c>
      <c r="L106" s="209"/>
      <c r="M106" s="210"/>
      <c r="N106" s="211"/>
      <c r="O106" s="212" t="str">
        <f t="shared" si="3"/>
        <v>Никишова</v>
      </c>
      <c r="P106" s="204"/>
      <c r="Q106" s="213"/>
      <c r="S106" s="198">
        <f t="shared" si="5"/>
        <v>0</v>
      </c>
      <c r="T106" s="198">
        <f t="shared" si="6"/>
        <v>0</v>
      </c>
      <c r="U106" s="198">
        <f t="shared" si="7"/>
        <v>0</v>
      </c>
      <c r="V106" s="198">
        <f t="shared" si="8"/>
        <v>0</v>
      </c>
      <c r="W106" s="198">
        <f t="shared" si="9"/>
        <v>0</v>
      </c>
      <c r="X106" s="198">
        <f t="shared" si="10"/>
        <v>0</v>
      </c>
      <c r="Y106" s="198">
        <f t="shared" si="11"/>
        <v>0</v>
      </c>
      <c r="Z106" s="198">
        <f t="shared" si="12"/>
        <v>0</v>
      </c>
      <c r="AB106" s="360"/>
    </row>
    <row r="107" spans="1:28" ht="29.25" customHeight="1">
      <c r="A107" s="201"/>
      <c r="B107" s="202">
        <f t="shared" si="23"/>
        <v>0.16666666666666666</v>
      </c>
      <c r="C107" s="202">
        <f t="shared" si="24"/>
        <v>0.20833333333333331</v>
      </c>
      <c r="D107" s="203"/>
      <c r="E107" s="204"/>
      <c r="F107" s="215"/>
      <c r="G107" s="215"/>
      <c r="H107" s="214"/>
      <c r="I107" s="207"/>
      <c r="J107" s="207"/>
      <c r="K107" s="208">
        <f t="shared" si="4"/>
        <v>0</v>
      </c>
      <c r="L107" s="209"/>
      <c r="M107" s="210"/>
      <c r="N107" s="211"/>
      <c r="O107" s="212" t="str">
        <f t="shared" si="3"/>
        <v>Никишова</v>
      </c>
      <c r="P107" s="204"/>
      <c r="Q107" s="213"/>
      <c r="S107" s="198">
        <f t="shared" si="5"/>
        <v>0</v>
      </c>
      <c r="T107" s="198">
        <f t="shared" si="6"/>
        <v>0</v>
      </c>
      <c r="U107" s="198">
        <f t="shared" si="7"/>
        <v>0</v>
      </c>
      <c r="V107" s="198">
        <f t="shared" si="8"/>
        <v>0</v>
      </c>
      <c r="W107" s="198">
        <f t="shared" si="9"/>
        <v>0</v>
      </c>
      <c r="X107" s="198">
        <f t="shared" si="10"/>
        <v>0</v>
      </c>
      <c r="Y107" s="198">
        <f t="shared" si="11"/>
        <v>0</v>
      </c>
      <c r="Z107" s="198">
        <f t="shared" si="12"/>
        <v>0</v>
      </c>
      <c r="AB107" s="360"/>
    </row>
    <row r="108" spans="1:28" ht="29.25" customHeight="1">
      <c r="A108" s="201"/>
      <c r="B108" s="202">
        <f t="shared" si="23"/>
        <v>0.20833333333333331</v>
      </c>
      <c r="C108" s="202">
        <f t="shared" si="24"/>
        <v>0.24999999999999997</v>
      </c>
      <c r="D108" s="203"/>
      <c r="E108" s="204"/>
      <c r="F108" s="215"/>
      <c r="G108" s="215"/>
      <c r="H108" s="214"/>
      <c r="I108" s="207"/>
      <c r="J108" s="207"/>
      <c r="K108" s="208">
        <f t="shared" si="4"/>
        <v>0</v>
      </c>
      <c r="L108" s="209"/>
      <c r="M108" s="210"/>
      <c r="N108" s="211"/>
      <c r="O108" s="212" t="str">
        <f t="shared" si="3"/>
        <v>Никишова</v>
      </c>
      <c r="P108" s="204"/>
      <c r="Q108" s="213"/>
      <c r="S108" s="198">
        <f t="shared" si="5"/>
        <v>0</v>
      </c>
      <c r="T108" s="198">
        <f t="shared" si="6"/>
        <v>0</v>
      </c>
      <c r="U108" s="198">
        <f t="shared" si="7"/>
        <v>0</v>
      </c>
      <c r="V108" s="198">
        <f t="shared" si="8"/>
        <v>0</v>
      </c>
      <c r="W108" s="198">
        <f t="shared" si="9"/>
        <v>0</v>
      </c>
      <c r="X108" s="198">
        <f t="shared" si="10"/>
        <v>0</v>
      </c>
      <c r="Y108" s="198">
        <f t="shared" si="11"/>
        <v>0</v>
      </c>
      <c r="Z108" s="198">
        <f t="shared" si="12"/>
        <v>0</v>
      </c>
      <c r="AB108" s="360"/>
    </row>
    <row r="109" spans="1:28" ht="29.25" customHeight="1">
      <c r="A109" s="201"/>
      <c r="B109" s="202">
        <f t="shared" si="23"/>
        <v>0.24999999999999997</v>
      </c>
      <c r="C109" s="202">
        <f t="shared" si="24"/>
        <v>0.29166666666666663</v>
      </c>
      <c r="D109" s="203"/>
      <c r="E109" s="216"/>
      <c r="F109" s="215"/>
      <c r="G109" s="215"/>
      <c r="H109" s="214"/>
      <c r="I109" s="207"/>
      <c r="J109" s="207"/>
      <c r="K109" s="208">
        <f t="shared" si="4"/>
        <v>0</v>
      </c>
      <c r="L109" s="209"/>
      <c r="M109" s="210"/>
      <c r="N109" s="211"/>
      <c r="O109" s="212" t="str">
        <f t="shared" si="3"/>
        <v>Никишова</v>
      </c>
      <c r="P109" s="204"/>
      <c r="Q109" s="213"/>
      <c r="S109" s="198">
        <f t="shared" si="5"/>
        <v>0</v>
      </c>
      <c r="T109" s="198">
        <f t="shared" si="6"/>
        <v>0</v>
      </c>
      <c r="U109" s="198">
        <f t="shared" si="7"/>
        <v>0</v>
      </c>
      <c r="V109" s="198">
        <f t="shared" si="8"/>
        <v>0</v>
      </c>
      <c r="W109" s="198">
        <f t="shared" si="9"/>
        <v>0</v>
      </c>
      <c r="X109" s="198">
        <f t="shared" si="10"/>
        <v>0</v>
      </c>
      <c r="Y109" s="198">
        <f t="shared" si="11"/>
        <v>0</v>
      </c>
      <c r="Z109" s="198">
        <f t="shared" si="12"/>
        <v>0</v>
      </c>
      <c r="AB109" s="360"/>
    </row>
    <row r="110" spans="1:28" ht="29.25" customHeight="1">
      <c r="A110" s="201"/>
      <c r="B110" s="202">
        <f t="shared" si="23"/>
        <v>0.29166666666666663</v>
      </c>
      <c r="C110" s="202">
        <f t="shared" si="24"/>
        <v>0.33333333333333331</v>
      </c>
      <c r="D110" s="203"/>
      <c r="E110" s="216"/>
      <c r="F110" s="205"/>
      <c r="G110" s="206"/>
      <c r="H110" s="214"/>
      <c r="I110" s="207"/>
      <c r="J110" s="207"/>
      <c r="K110" s="208">
        <f t="shared" si="4"/>
        <v>0</v>
      </c>
      <c r="L110" s="209"/>
      <c r="M110" s="210"/>
      <c r="N110" s="211"/>
      <c r="O110" s="212" t="str">
        <f t="shared" si="3"/>
        <v>Никишова</v>
      </c>
      <c r="P110" s="204"/>
      <c r="Q110" s="213"/>
      <c r="S110" s="198">
        <f t="shared" si="5"/>
        <v>0</v>
      </c>
      <c r="T110" s="198">
        <f t="shared" si="6"/>
        <v>0</v>
      </c>
      <c r="U110" s="198">
        <f t="shared" si="7"/>
        <v>0</v>
      </c>
      <c r="V110" s="198">
        <f t="shared" si="8"/>
        <v>0</v>
      </c>
      <c r="W110" s="198">
        <f t="shared" si="9"/>
        <v>0</v>
      </c>
      <c r="X110" s="198">
        <f t="shared" si="10"/>
        <v>0</v>
      </c>
      <c r="Y110" s="198">
        <f t="shared" si="11"/>
        <v>0</v>
      </c>
      <c r="Z110" s="198">
        <f t="shared" si="12"/>
        <v>0</v>
      </c>
      <c r="AB110" s="360"/>
    </row>
    <row r="111" spans="1:28" ht="29.25" customHeight="1">
      <c r="A111" s="201"/>
      <c r="B111" s="202">
        <f t="shared" si="23"/>
        <v>0.33333333333333331</v>
      </c>
      <c r="C111" s="202">
        <f t="shared" si="24"/>
        <v>0.375</v>
      </c>
      <c r="D111" s="203"/>
      <c r="E111" s="216"/>
      <c r="F111" s="205"/>
      <c r="G111" s="206"/>
      <c r="H111" s="214"/>
      <c r="I111" s="207"/>
      <c r="J111" s="207"/>
      <c r="K111" s="208">
        <f t="shared" si="4"/>
        <v>0</v>
      </c>
      <c r="L111" s="209"/>
      <c r="M111" s="210"/>
      <c r="N111" s="211"/>
      <c r="O111" s="212" t="str">
        <f t="shared" ref="O111:O113" si="25">IF(H111=$V$5,$F$7,"")</f>
        <v>Никишова</v>
      </c>
      <c r="P111" s="204"/>
      <c r="Q111" s="213"/>
      <c r="S111" s="198">
        <f t="shared" si="5"/>
        <v>0</v>
      </c>
      <c r="T111" s="198">
        <f t="shared" si="6"/>
        <v>0</v>
      </c>
      <c r="U111" s="198">
        <f t="shared" si="7"/>
        <v>0</v>
      </c>
      <c r="V111" s="198">
        <f t="shared" si="8"/>
        <v>0</v>
      </c>
      <c r="W111" s="198">
        <f t="shared" si="9"/>
        <v>0</v>
      </c>
      <c r="X111" s="198">
        <f t="shared" si="10"/>
        <v>0</v>
      </c>
      <c r="Y111" s="198">
        <f t="shared" si="11"/>
        <v>0</v>
      </c>
      <c r="Z111" s="198">
        <f t="shared" si="12"/>
        <v>0</v>
      </c>
      <c r="AB111" s="360"/>
    </row>
    <row r="112" spans="1:28" ht="29.25" customHeight="1">
      <c r="A112" s="201"/>
      <c r="B112" s="202">
        <f t="shared" si="23"/>
        <v>0.375</v>
      </c>
      <c r="C112" s="202">
        <f t="shared" si="24"/>
        <v>0.41666666666666669</v>
      </c>
      <c r="D112" s="203"/>
      <c r="E112" s="216"/>
      <c r="F112" s="215"/>
      <c r="G112" s="215"/>
      <c r="H112" s="214"/>
      <c r="I112" s="207"/>
      <c r="J112" s="207"/>
      <c r="K112" s="208">
        <f t="shared" ref="K112:K113" si="26">(J112-I112+(J112&lt;I112))*24*60</f>
        <v>0</v>
      </c>
      <c r="L112" s="209"/>
      <c r="M112" s="210"/>
      <c r="N112" s="211"/>
      <c r="O112" s="212" t="str">
        <f t="shared" si="25"/>
        <v>Никишова</v>
      </c>
      <c r="P112" s="204"/>
      <c r="Q112" s="213"/>
      <c r="S112" s="198">
        <f>IF($H112="ПЛАНОВЫЕ",$K112,0)</f>
        <v>0</v>
      </c>
      <c r="T112" s="198">
        <f>IF($H112="ПРОИЗВОДСТВЕННЫЕ",$K112,0)</f>
        <v>0</v>
      </c>
      <c r="U112" s="198">
        <f>IF($H112="ТЕХНИЧЕСКИЕ",$K112,0)</f>
        <v>0</v>
      </c>
      <c r="V112" s="198">
        <f>IF($H112="ТЕХНОЛОГИЧЕСКИЕ",$K112,0)</f>
        <v>0</v>
      </c>
      <c r="W112" s="198">
        <f>IF($H112="ЛАБОРАТОРНЫЕ",$K112,0)</f>
        <v>0</v>
      </c>
      <c r="X112" s="198">
        <f>IF($H112="СЫРЬЕВЫЕ",$K112,0)</f>
        <v>0</v>
      </c>
      <c r="Y112" s="198">
        <f>IF($H112="ЛОГИСТИЧЕСКИЕ",$K112,0)</f>
        <v>0</v>
      </c>
      <c r="Z112" s="198">
        <f>IF($H112="ОБЩЕЗАВОДСКИЕ",$K112,0)</f>
        <v>0</v>
      </c>
      <c r="AB112" s="360"/>
    </row>
    <row r="113" spans="1:28" ht="29.25" customHeight="1" thickBot="1">
      <c r="A113" s="218"/>
      <c r="B113" s="219">
        <f t="shared" si="23"/>
        <v>0.41666666666666669</v>
      </c>
      <c r="C113" s="219">
        <f t="shared" si="24"/>
        <v>0.45833333333333337</v>
      </c>
      <c r="D113" s="230"/>
      <c r="E113" s="221"/>
      <c r="F113" s="222"/>
      <c r="G113" s="222"/>
      <c r="H113" s="231"/>
      <c r="I113" s="223"/>
      <c r="J113" s="223"/>
      <c r="K113" s="224">
        <f t="shared" si="26"/>
        <v>0</v>
      </c>
      <c r="L113" s="225"/>
      <c r="M113" s="226"/>
      <c r="N113" s="227"/>
      <c r="O113" s="228" t="str">
        <f t="shared" si="25"/>
        <v>Никишова</v>
      </c>
      <c r="P113" s="228"/>
      <c r="Q113" s="229"/>
      <c r="S113" s="198">
        <f>IF($H113="ПЛАНОВЫЕ",$K113,0)</f>
        <v>0</v>
      </c>
      <c r="T113" s="198">
        <f>IF($H113="ПРОИЗВОДСТВЕННЫЕ",$K113,0)</f>
        <v>0</v>
      </c>
      <c r="U113" s="198">
        <f>IF($H113="ТЕХНИЧЕСКИЕ",$K113,0)</f>
        <v>0</v>
      </c>
      <c r="V113" s="198">
        <f>IF($H113="ТЕХНОЛОГИЧЕСКИЕ",$K113,0)</f>
        <v>0</v>
      </c>
      <c r="W113" s="198">
        <f>IF($H113="ЛАБОРАТОРНЫЕ",$K113,0)</f>
        <v>0</v>
      </c>
      <c r="X113" s="198">
        <f>IF($H113="СЫРЬЕВЫЕ",$K113,0)</f>
        <v>0</v>
      </c>
      <c r="Y113" s="198">
        <f>IF($H113="ЛОГИСТИЧЕСКИЕ",$K113,0)</f>
        <v>0</v>
      </c>
      <c r="Z113" s="198">
        <f>IF($H113="ОБЩЕЗАВОДСКИЕ",$K113,0)</f>
        <v>0</v>
      </c>
      <c r="AB113" s="360"/>
    </row>
    <row r="114" spans="1:28" ht="13.8" thickBot="1">
      <c r="S114" s="268">
        <f t="shared" ref="S114:Z114" si="27">SUM(S47:S113)</f>
        <v>200.00000000000014</v>
      </c>
      <c r="T114" s="268">
        <f t="shared" si="27"/>
        <v>0</v>
      </c>
      <c r="U114" s="268">
        <f t="shared" si="27"/>
        <v>139.00000000000006</v>
      </c>
      <c r="V114" s="268">
        <f t="shared" si="27"/>
        <v>34.999999999999872</v>
      </c>
      <c r="W114" s="268">
        <f t="shared" si="27"/>
        <v>19.999999999999769</v>
      </c>
      <c r="X114" s="268">
        <f t="shared" si="27"/>
        <v>0</v>
      </c>
      <c r="Y114" s="268">
        <f t="shared" si="27"/>
        <v>0</v>
      </c>
      <c r="Z114" s="268">
        <f t="shared" si="27"/>
        <v>0</v>
      </c>
      <c r="AB114" s="360"/>
    </row>
    <row r="116" spans="1:28" ht="15">
      <c r="A116" s="301" t="s">
        <v>0</v>
      </c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2"/>
      <c r="S116" s="302"/>
      <c r="T116" s="302"/>
      <c r="U116" s="302"/>
    </row>
    <row r="117" spans="1:28" ht="15.6" thickBot="1">
      <c r="A117" s="304" t="s">
        <v>140</v>
      </c>
      <c r="B117" s="304"/>
      <c r="C117" s="304"/>
      <c r="D117" s="304"/>
      <c r="E117" s="304"/>
      <c r="F117" s="304"/>
      <c r="G117" s="304"/>
      <c r="H117" s="304"/>
      <c r="I117" s="304"/>
      <c r="J117" s="304"/>
      <c r="K117" s="304"/>
      <c r="L117" s="304"/>
      <c r="M117" s="304"/>
      <c r="N117" s="304"/>
      <c r="O117" s="304"/>
      <c r="P117" s="304"/>
      <c r="Q117" s="304"/>
      <c r="R117" s="305"/>
      <c r="S117" s="305"/>
      <c r="T117" s="305"/>
      <c r="U117" s="305"/>
    </row>
    <row r="118" spans="1:28" ht="18" thickBot="1">
      <c r="A118" s="6" t="s">
        <v>100</v>
      </c>
      <c r="B118" s="7"/>
      <c r="C118" s="7"/>
      <c r="D118" s="7"/>
      <c r="E118" s="8"/>
      <c r="F118" s="270"/>
      <c r="G118" s="271"/>
      <c r="H118" s="272"/>
      <c r="I118" s="306" t="s">
        <v>4</v>
      </c>
      <c r="J118" s="307">
        <v>2000</v>
      </c>
      <c r="K118" s="308" t="s">
        <v>5</v>
      </c>
      <c r="L118" s="309">
        <v>720</v>
      </c>
    </row>
    <row r="119" spans="1:28" ht="20.25" customHeight="1">
      <c r="A119" s="295" t="s">
        <v>7</v>
      </c>
      <c r="B119" s="295"/>
      <c r="C119" s="295"/>
      <c r="D119" s="295"/>
      <c r="E119" s="295"/>
      <c r="F119" s="295" t="s">
        <v>8</v>
      </c>
      <c r="G119" s="295"/>
      <c r="H119" s="295"/>
      <c r="I119" s="295" t="s">
        <v>9</v>
      </c>
      <c r="J119" s="295"/>
      <c r="K119" s="295" t="s">
        <v>10</v>
      </c>
      <c r="L119" s="295"/>
      <c r="M119" s="310"/>
      <c r="N119" s="311" t="s">
        <v>11</v>
      </c>
      <c r="O119" s="312"/>
      <c r="P119" s="312"/>
      <c r="Q119" s="312"/>
      <c r="R119" s="312"/>
      <c r="S119" s="312"/>
      <c r="T119" s="312"/>
      <c r="U119" s="313"/>
      <c r="X119" s="314"/>
    </row>
    <row r="120" spans="1:28" ht="13.8">
      <c r="A120" s="27" t="s">
        <v>13</v>
      </c>
      <c r="B120" s="28"/>
      <c r="C120" s="28"/>
      <c r="D120" s="28"/>
      <c r="E120" s="28"/>
      <c r="F120" s="296" t="s">
        <v>101</v>
      </c>
      <c r="G120" s="296"/>
      <c r="H120" s="296"/>
      <c r="I120" s="297" t="s">
        <v>15</v>
      </c>
      <c r="J120" s="297" t="s">
        <v>15</v>
      </c>
      <c r="K120" s="296" t="s">
        <v>165</v>
      </c>
      <c r="L120" s="296"/>
      <c r="N120" s="33"/>
      <c r="O120" s="34" t="s">
        <v>17</v>
      </c>
      <c r="P120" s="35"/>
      <c r="Q120" s="35"/>
      <c r="R120" s="36"/>
      <c r="S120" s="36"/>
      <c r="T120" s="36"/>
      <c r="U120" s="315"/>
      <c r="X120" s="316"/>
    </row>
    <row r="121" spans="1:28" ht="13.8">
      <c r="A121" s="27" t="s">
        <v>19</v>
      </c>
      <c r="B121" s="28"/>
      <c r="C121" s="28"/>
      <c r="D121" s="28"/>
      <c r="E121" s="29"/>
      <c r="F121" s="296" t="s">
        <v>166</v>
      </c>
      <c r="G121" s="296"/>
      <c r="H121" s="296"/>
      <c r="I121" s="297" t="s">
        <v>21</v>
      </c>
      <c r="J121" s="297" t="s">
        <v>21</v>
      </c>
      <c r="K121" s="296" t="s">
        <v>167</v>
      </c>
      <c r="L121" s="296"/>
      <c r="N121" s="38"/>
      <c r="O121" s="39"/>
      <c r="P121" s="40"/>
      <c r="Q121" s="40"/>
      <c r="R121" s="41"/>
      <c r="S121" s="41"/>
      <c r="T121" s="41"/>
      <c r="U121" s="317"/>
      <c r="X121" s="316"/>
    </row>
    <row r="122" spans="1:28" ht="16.5" customHeight="1">
      <c r="A122" s="318" t="s">
        <v>24</v>
      </c>
      <c r="B122" s="297"/>
      <c r="C122" s="297"/>
      <c r="D122" s="297"/>
      <c r="E122" s="42"/>
      <c r="F122" s="296"/>
      <c r="G122" s="296"/>
      <c r="H122" s="296"/>
      <c r="I122" s="297" t="s">
        <v>114</v>
      </c>
      <c r="J122" s="297" t="s">
        <v>114</v>
      </c>
      <c r="K122" s="296" t="s">
        <v>168</v>
      </c>
      <c r="L122" s="296"/>
      <c r="N122" s="43"/>
      <c r="O122" s="34" t="s">
        <v>28</v>
      </c>
      <c r="P122" s="35"/>
      <c r="Q122" s="44"/>
      <c r="R122" s="45"/>
      <c r="S122" s="45"/>
      <c r="T122" s="45"/>
      <c r="U122" s="315"/>
      <c r="X122" s="316"/>
    </row>
    <row r="123" spans="1:28" ht="16.5" customHeight="1" thickBot="1">
      <c r="A123" s="297"/>
      <c r="B123" s="297"/>
      <c r="C123" s="297"/>
      <c r="D123" s="297"/>
      <c r="E123" s="297"/>
      <c r="F123" s="296"/>
      <c r="G123" s="296"/>
      <c r="H123" s="296"/>
      <c r="I123" s="297" t="s">
        <v>123</v>
      </c>
      <c r="J123" s="297" t="s">
        <v>123</v>
      </c>
      <c r="K123" s="296" t="s">
        <v>169</v>
      </c>
      <c r="L123" s="296"/>
      <c r="N123" s="319"/>
      <c r="O123" s="320"/>
      <c r="P123" s="321"/>
      <c r="Q123" s="322"/>
      <c r="R123" s="323"/>
      <c r="S123" s="323"/>
      <c r="T123" s="323"/>
      <c r="U123" s="324"/>
      <c r="X123" s="316"/>
    </row>
    <row r="124" spans="1:28" ht="13.8">
      <c r="A124" s="297"/>
      <c r="B124" s="297"/>
      <c r="C124" s="297"/>
      <c r="D124" s="297"/>
      <c r="E124" s="297"/>
      <c r="F124" s="296"/>
      <c r="G124" s="296"/>
      <c r="H124" s="296"/>
      <c r="I124" s="297" t="s">
        <v>123</v>
      </c>
      <c r="J124" s="297" t="s">
        <v>123</v>
      </c>
      <c r="K124" s="296" t="s">
        <v>170</v>
      </c>
      <c r="L124" s="296"/>
      <c r="N124" s="273"/>
      <c r="O124" s="273"/>
      <c r="P124" s="274"/>
      <c r="Q124" s="274"/>
      <c r="R124" s="275"/>
      <c r="S124" s="275"/>
      <c r="T124" s="275"/>
      <c r="U124" s="275"/>
      <c r="X124" s="316"/>
    </row>
    <row r="125" spans="1:28" ht="14.4" customHeight="1">
      <c r="A125" s="297" t="s">
        <v>108</v>
      </c>
      <c r="B125" s="297"/>
      <c r="C125" s="297"/>
      <c r="D125" s="297"/>
      <c r="E125" s="297"/>
      <c r="F125" s="296" t="s">
        <v>171</v>
      </c>
      <c r="G125" s="296"/>
      <c r="H125" s="296"/>
      <c r="I125" s="42" t="s">
        <v>119</v>
      </c>
      <c r="J125" s="29" t="s">
        <v>119</v>
      </c>
      <c r="K125" s="276" t="s">
        <v>172</v>
      </c>
      <c r="L125" s="277"/>
      <c r="N125" s="278"/>
      <c r="O125" s="278"/>
      <c r="P125" s="275"/>
      <c r="Q125" s="275"/>
      <c r="R125" s="275"/>
      <c r="S125" s="275"/>
      <c r="T125" s="275"/>
      <c r="U125" s="275"/>
      <c r="X125" s="316"/>
    </row>
    <row r="126" spans="1:28" ht="14.4" customHeight="1">
      <c r="A126" s="297"/>
      <c r="B126" s="297"/>
      <c r="C126" s="297"/>
      <c r="D126" s="297"/>
      <c r="E126" s="297"/>
      <c r="F126" s="296"/>
      <c r="G126" s="296"/>
      <c r="H126" s="296"/>
      <c r="I126" s="42" t="s">
        <v>146</v>
      </c>
      <c r="J126" s="29" t="s">
        <v>146</v>
      </c>
      <c r="K126" s="276" t="s">
        <v>173</v>
      </c>
      <c r="L126" s="277"/>
      <c r="N126" s="278"/>
      <c r="O126" s="278"/>
      <c r="P126" s="275"/>
      <c r="Q126" s="275"/>
      <c r="R126" s="275"/>
      <c r="S126" s="275"/>
      <c r="T126" s="275"/>
      <c r="U126" s="275"/>
      <c r="X126" s="316"/>
    </row>
    <row r="127" spans="1:28" ht="14.4" customHeight="1">
      <c r="A127" s="297"/>
      <c r="B127" s="297"/>
      <c r="C127" s="297"/>
      <c r="D127" s="297"/>
      <c r="E127" s="297"/>
      <c r="F127" s="296"/>
      <c r="G127" s="296"/>
      <c r="H127" s="296"/>
      <c r="I127" s="297" t="s">
        <v>174</v>
      </c>
      <c r="J127" s="297"/>
      <c r="K127" s="276" t="s">
        <v>175</v>
      </c>
      <c r="L127" s="277"/>
      <c r="N127" s="278"/>
      <c r="O127" s="278"/>
      <c r="P127" s="275"/>
      <c r="Q127" s="275"/>
      <c r="R127" s="275"/>
      <c r="S127" s="275"/>
      <c r="T127" s="275"/>
      <c r="U127" s="275"/>
      <c r="X127" s="316"/>
    </row>
    <row r="128" spans="1:28" ht="14.4" customHeight="1" thickBot="1">
      <c r="A128" s="297"/>
      <c r="B128" s="297"/>
      <c r="C128" s="297"/>
      <c r="D128" s="297"/>
      <c r="E128" s="297"/>
      <c r="F128" s="296"/>
      <c r="G128" s="296"/>
      <c r="H128" s="296"/>
      <c r="I128" s="297" t="s">
        <v>174</v>
      </c>
      <c r="J128" s="297"/>
      <c r="K128" s="276" t="s">
        <v>176</v>
      </c>
      <c r="L128" s="277"/>
      <c r="N128" s="278"/>
      <c r="O128" s="278"/>
      <c r="P128" s="275"/>
      <c r="Q128" s="275"/>
      <c r="R128" s="275"/>
      <c r="S128" s="275"/>
      <c r="T128" s="275"/>
      <c r="U128" s="275"/>
      <c r="X128" s="316"/>
    </row>
    <row r="129" spans="1:24" ht="18.75" customHeight="1" thickBot="1">
      <c r="A129" s="55" t="s">
        <v>38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7"/>
      <c r="N129" s="58" t="s">
        <v>39</v>
      </c>
      <c r="O129" s="59"/>
      <c r="P129" s="59"/>
      <c r="Q129" s="59"/>
      <c r="R129" s="59"/>
      <c r="S129" s="59"/>
      <c r="T129" s="59"/>
      <c r="U129" s="59"/>
      <c r="V129" s="60"/>
      <c r="X129" s="316"/>
    </row>
    <row r="130" spans="1:24" ht="8.25" customHeight="1">
      <c r="A130" s="61" t="s">
        <v>41</v>
      </c>
      <c r="B130" s="61" t="s">
        <v>42</v>
      </c>
      <c r="C130" s="61" t="s">
        <v>43</v>
      </c>
      <c r="D130" s="61" t="s">
        <v>44</v>
      </c>
      <c r="E130" s="61" t="s">
        <v>45</v>
      </c>
      <c r="F130" s="61" t="s">
        <v>46</v>
      </c>
      <c r="G130" s="61" t="s">
        <v>47</v>
      </c>
      <c r="H130" s="61" t="s">
        <v>48</v>
      </c>
      <c r="I130" s="61" t="s">
        <v>49</v>
      </c>
      <c r="J130" s="61" t="s">
        <v>50</v>
      </c>
      <c r="K130" s="61" t="s">
        <v>51</v>
      </c>
      <c r="L130" s="121" t="s">
        <v>52</v>
      </c>
      <c r="N130" s="62" t="s">
        <v>53</v>
      </c>
      <c r="O130" s="62"/>
      <c r="P130" s="63" t="s">
        <v>54</v>
      </c>
      <c r="Q130" s="64"/>
      <c r="R130" s="64"/>
      <c r="S130" s="64"/>
      <c r="T130" s="64"/>
      <c r="U130" s="65"/>
      <c r="V130" s="62" t="s">
        <v>55</v>
      </c>
      <c r="X130" s="316"/>
    </row>
    <row r="131" spans="1:24" ht="12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131"/>
      <c r="N131" s="62"/>
      <c r="O131" s="62"/>
      <c r="P131" s="67"/>
      <c r="Q131" s="68"/>
      <c r="R131" s="68"/>
      <c r="S131" s="68"/>
      <c r="T131" s="68"/>
      <c r="U131" s="69"/>
      <c r="V131" s="62"/>
      <c r="X131" s="316"/>
    </row>
    <row r="132" spans="1:24" ht="12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131"/>
      <c r="N132" s="62"/>
      <c r="O132" s="62"/>
      <c r="P132" s="67"/>
      <c r="Q132" s="68"/>
      <c r="R132" s="68"/>
      <c r="S132" s="68"/>
      <c r="T132" s="68"/>
      <c r="U132" s="69"/>
      <c r="V132" s="62"/>
      <c r="X132" s="316"/>
    </row>
    <row r="133" spans="1:24" ht="3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131"/>
      <c r="N133" s="62"/>
      <c r="O133" s="62"/>
      <c r="P133" s="70"/>
      <c r="Q133" s="71"/>
      <c r="R133" s="71"/>
      <c r="S133" s="71"/>
      <c r="T133" s="71"/>
      <c r="U133" s="72"/>
      <c r="V133" s="62"/>
      <c r="X133" s="316"/>
    </row>
    <row r="134" spans="1:24" ht="45.75" customHeight="1" thickBot="1">
      <c r="A134" s="66"/>
      <c r="B134" s="66"/>
      <c r="C134" s="66"/>
      <c r="D134" s="73"/>
      <c r="E134" s="73"/>
      <c r="F134" s="73"/>
      <c r="G134" s="73"/>
      <c r="H134" s="73"/>
      <c r="I134" s="73"/>
      <c r="J134" s="73"/>
      <c r="K134" s="73"/>
      <c r="L134" s="131"/>
      <c r="M134" s="325"/>
      <c r="N134" s="75" t="s">
        <v>56</v>
      </c>
      <c r="O134" s="75"/>
      <c r="P134" s="76">
        <f>SUM(S162:S173)</f>
        <v>0</v>
      </c>
      <c r="Q134" s="76">
        <f>SUM(S174:S184)</f>
        <v>0</v>
      </c>
      <c r="R134" s="76">
        <f>SUM(S185:S195)</f>
        <v>0</v>
      </c>
      <c r="S134" s="76">
        <f>SUM(S196:S206)</f>
        <v>0</v>
      </c>
      <c r="T134" s="76">
        <f>SUM(S207:S217)</f>
        <v>0</v>
      </c>
      <c r="U134" s="76">
        <f>SUM(S218:S228)</f>
        <v>0</v>
      </c>
      <c r="V134" s="77">
        <f t="shared" ref="V134:V141" si="28">P134+Q134+R134+S134+T134+U134</f>
        <v>0</v>
      </c>
      <c r="X134" s="316"/>
    </row>
    <row r="135" spans="1:24" ht="16.95" customHeight="1" thickBot="1">
      <c r="A135" s="78"/>
      <c r="B135" s="78"/>
      <c r="C135" s="78"/>
      <c r="D135" s="79" t="s">
        <v>57</v>
      </c>
      <c r="E135" s="79" t="s">
        <v>58</v>
      </c>
      <c r="F135" s="79" t="s">
        <v>57</v>
      </c>
      <c r="G135" s="79"/>
      <c r="H135" s="79" t="s">
        <v>57</v>
      </c>
      <c r="I135" s="79"/>
      <c r="J135" s="79" t="s">
        <v>59</v>
      </c>
      <c r="K135" s="79" t="s">
        <v>59</v>
      </c>
      <c r="L135" s="326" t="s">
        <v>60</v>
      </c>
      <c r="N135" s="82" t="s">
        <v>61</v>
      </c>
      <c r="O135" s="82"/>
      <c r="P135" s="76">
        <f>SUM(T161:T172)</f>
        <v>0</v>
      </c>
      <c r="Q135" s="76">
        <f>SUM(T173:T183)</f>
        <v>0</v>
      </c>
      <c r="R135" s="76">
        <f>SUM(T184:T194)</f>
        <v>0</v>
      </c>
      <c r="S135" s="76">
        <f>SUM(T195:T205)</f>
        <v>0</v>
      </c>
      <c r="T135" s="76">
        <f>SUM(T206:T216)</f>
        <v>0</v>
      </c>
      <c r="U135" s="76">
        <f>SUM(T217:T227)</f>
        <v>0</v>
      </c>
      <c r="V135" s="77">
        <f t="shared" si="28"/>
        <v>0</v>
      </c>
    </row>
    <row r="136" spans="1:24" ht="17.25" customHeight="1">
      <c r="A136" s="61">
        <f>A152</f>
        <v>0</v>
      </c>
      <c r="B136" s="83"/>
      <c r="C136" s="83"/>
      <c r="D136" s="84">
        <f>(C136-B136+(C136&lt;B136))*24*60</f>
        <v>0</v>
      </c>
      <c r="E136" s="85"/>
      <c r="F136" s="86">
        <f>IF(E136=0,0,(F152/J118*60))</f>
        <v>0</v>
      </c>
      <c r="G136" s="87">
        <f>IF($K136=0,0,(K136*100)/(D136*$J$3/60))</f>
        <v>0</v>
      </c>
      <c r="H136" s="86">
        <f>P134+P141</f>
        <v>0</v>
      </c>
      <c r="I136" s="87">
        <f>D136-F136-P142</f>
        <v>0</v>
      </c>
      <c r="J136" s="84">
        <f>(D136-H136)/60*E136</f>
        <v>0</v>
      </c>
      <c r="K136" s="279">
        <f>F152</f>
        <v>0</v>
      </c>
      <c r="L136" s="327">
        <f>IF($K136=0,0,K136/J136)</f>
        <v>0</v>
      </c>
      <c r="N136" s="82" t="s">
        <v>62</v>
      </c>
      <c r="O136" s="82"/>
      <c r="P136" s="76">
        <f>SUM(U161:U172)</f>
        <v>0</v>
      </c>
      <c r="Q136" s="76">
        <f>SUM(U173:U183)</f>
        <v>0</v>
      </c>
      <c r="R136" s="76">
        <f>SUM(U184:U194)</f>
        <v>0</v>
      </c>
      <c r="S136" s="76">
        <f>SUM(U195:U205)</f>
        <v>0</v>
      </c>
      <c r="T136" s="76">
        <f>SUM(U206:U216)</f>
        <v>0</v>
      </c>
      <c r="U136" s="76">
        <f>SUM(U217:U227)</f>
        <v>0</v>
      </c>
      <c r="V136" s="77">
        <f t="shared" si="28"/>
        <v>0</v>
      </c>
      <c r="W136" s="275"/>
    </row>
    <row r="137" spans="1:24" ht="17.25" customHeight="1" thickBot="1">
      <c r="A137" s="78"/>
      <c r="B137" s="90"/>
      <c r="C137" s="90"/>
      <c r="D137" s="91"/>
      <c r="E137" s="92"/>
      <c r="F137" s="93"/>
      <c r="G137" s="94"/>
      <c r="H137" s="93"/>
      <c r="I137" s="94"/>
      <c r="J137" s="91"/>
      <c r="K137" s="280"/>
      <c r="L137" s="328">
        <f>K136-J136</f>
        <v>0</v>
      </c>
      <c r="N137" s="82" t="s">
        <v>63</v>
      </c>
      <c r="O137" s="82"/>
      <c r="P137" s="76">
        <f>SUM(V161:V172)</f>
        <v>0</v>
      </c>
      <c r="Q137" s="76">
        <f>SUM(V173:V183)</f>
        <v>0</v>
      </c>
      <c r="R137" s="76">
        <f>SUM(V184:V194)</f>
        <v>0</v>
      </c>
      <c r="S137" s="76">
        <f>SUM(V195:V205)</f>
        <v>0</v>
      </c>
      <c r="T137" s="76">
        <f>SUM(V206:V216)</f>
        <v>0</v>
      </c>
      <c r="U137" s="76">
        <f>SUM(V217:V227)</f>
        <v>0</v>
      </c>
      <c r="V137" s="77">
        <f t="shared" si="28"/>
        <v>0</v>
      </c>
      <c r="W137" s="275"/>
    </row>
    <row r="138" spans="1:24" ht="17.25" customHeight="1">
      <c r="A138" s="61">
        <f>A153</f>
        <v>0</v>
      </c>
      <c r="B138" s="83"/>
      <c r="C138" s="83"/>
      <c r="D138" s="84">
        <f>(C138-B138+(C138&lt;B138))*24*60</f>
        <v>0</v>
      </c>
      <c r="E138" s="85"/>
      <c r="F138" s="86">
        <f>IF(E138=0,0,(F153/J118*60))</f>
        <v>0</v>
      </c>
      <c r="G138" s="87">
        <f>IF($K138=0,0,(K138*100)/(D138*$J$3/60))</f>
        <v>0</v>
      </c>
      <c r="H138" s="86">
        <f>Q134+Q141</f>
        <v>0</v>
      </c>
      <c r="I138" s="87">
        <f>D138-F138-Q142</f>
        <v>0</v>
      </c>
      <c r="J138" s="84">
        <f>(D138-H138)/60*E138</f>
        <v>0</v>
      </c>
      <c r="K138" s="279">
        <f>F153</f>
        <v>0</v>
      </c>
      <c r="L138" s="329">
        <f>IF($K138=0,0,K138/J138)</f>
        <v>0</v>
      </c>
      <c r="N138" s="82" t="s">
        <v>64</v>
      </c>
      <c r="O138" s="82"/>
      <c r="P138" s="76">
        <f>SUM(W161:W172)</f>
        <v>0</v>
      </c>
      <c r="Q138" s="76">
        <f>SUM(W173:W183)</f>
        <v>0</v>
      </c>
      <c r="R138" s="76">
        <f>SUM(W184:W194)</f>
        <v>0</v>
      </c>
      <c r="S138" s="76">
        <f>SUM(W195:W205)</f>
        <v>0</v>
      </c>
      <c r="T138" s="76">
        <f>SUM(W206:W216)</f>
        <v>0</v>
      </c>
      <c r="U138" s="76">
        <f>SUM(W217:W227)</f>
        <v>0</v>
      </c>
      <c r="V138" s="77">
        <f t="shared" si="28"/>
        <v>0</v>
      </c>
      <c r="W138" s="275"/>
    </row>
    <row r="139" spans="1:24" ht="16.95" customHeight="1" thickBot="1">
      <c r="A139" s="78"/>
      <c r="B139" s="90"/>
      <c r="C139" s="90"/>
      <c r="D139" s="91"/>
      <c r="E139" s="92"/>
      <c r="F139" s="93"/>
      <c r="G139" s="94"/>
      <c r="H139" s="93"/>
      <c r="I139" s="94"/>
      <c r="J139" s="91"/>
      <c r="K139" s="280"/>
      <c r="L139" s="328">
        <f>K138-J138</f>
        <v>0</v>
      </c>
      <c r="N139" s="98" t="s">
        <v>65</v>
      </c>
      <c r="O139" s="98"/>
      <c r="P139" s="76">
        <f>SUM(X161:X172)</f>
        <v>0</v>
      </c>
      <c r="Q139" s="76">
        <f>SUM(X173:X183)</f>
        <v>0</v>
      </c>
      <c r="R139" s="76">
        <f>SUM(X184:X194)</f>
        <v>0</v>
      </c>
      <c r="S139" s="76">
        <f>SUM(X195:X205)</f>
        <v>0</v>
      </c>
      <c r="T139" s="76">
        <f>SUM(X206:X216)</f>
        <v>0</v>
      </c>
      <c r="U139" s="76">
        <f>SUM(X217:X227)</f>
        <v>0</v>
      </c>
      <c r="V139" s="77">
        <f t="shared" si="28"/>
        <v>0</v>
      </c>
      <c r="W139" s="275"/>
    </row>
    <row r="140" spans="1:24" ht="16.95" customHeight="1" collapsed="1">
      <c r="A140" s="61">
        <f>A154</f>
        <v>0</v>
      </c>
      <c r="B140" s="83"/>
      <c r="C140" s="83"/>
      <c r="D140" s="84">
        <f>(C140-B140+(C140&lt;B140))*24*60</f>
        <v>0</v>
      </c>
      <c r="E140" s="85"/>
      <c r="F140" s="86">
        <f>IF(E140=0,0,(F154/J118*60))</f>
        <v>0</v>
      </c>
      <c r="G140" s="87">
        <f>IF($K140=0,0,(K140*100)/(D140*$J$3/60))</f>
        <v>0</v>
      </c>
      <c r="H140" s="86">
        <f>R134+R141</f>
        <v>0</v>
      </c>
      <c r="I140" s="87">
        <f>D140-F140-R142</f>
        <v>0</v>
      </c>
      <c r="J140" s="84">
        <f>(D140-H140)/60*E140</f>
        <v>0</v>
      </c>
      <c r="K140" s="279">
        <f>F154</f>
        <v>0</v>
      </c>
      <c r="L140" s="327">
        <f>IF($K140=0,0,K140/J140)</f>
        <v>0</v>
      </c>
      <c r="N140" s="98" t="s">
        <v>66</v>
      </c>
      <c r="O140" s="98"/>
      <c r="P140" s="76">
        <f>SUM(Y161:Y172)</f>
        <v>0</v>
      </c>
      <c r="Q140" s="76">
        <f>SUM(Y173:Y183)</f>
        <v>0</v>
      </c>
      <c r="R140" s="76">
        <f>SUM(Y184:Y194)</f>
        <v>0</v>
      </c>
      <c r="S140" s="76">
        <f>SUM(Y195:Y205)</f>
        <v>0</v>
      </c>
      <c r="T140" s="76">
        <f>SUM(Y206:Y216)</f>
        <v>0</v>
      </c>
      <c r="U140" s="76">
        <f>SUM(Y217:Y227)</f>
        <v>0</v>
      </c>
      <c r="V140" s="77">
        <f t="shared" si="28"/>
        <v>0</v>
      </c>
      <c r="W140" s="275"/>
      <c r="X140" s="275"/>
    </row>
    <row r="141" spans="1:24" ht="16.95" customHeight="1" thickBot="1">
      <c r="A141" s="78"/>
      <c r="B141" s="90"/>
      <c r="C141" s="90"/>
      <c r="D141" s="91"/>
      <c r="E141" s="92"/>
      <c r="F141" s="93"/>
      <c r="G141" s="94"/>
      <c r="H141" s="93"/>
      <c r="I141" s="94"/>
      <c r="J141" s="91"/>
      <c r="K141" s="280"/>
      <c r="L141" s="328">
        <f>K140-J140</f>
        <v>0</v>
      </c>
      <c r="N141" s="99" t="s">
        <v>67</v>
      </c>
      <c r="O141" s="99"/>
      <c r="P141" s="76">
        <f>SUM(Z161:Z172)</f>
        <v>0</v>
      </c>
      <c r="Q141" s="76">
        <f>SUM(Z173:Z183)</f>
        <v>0</v>
      </c>
      <c r="R141" s="76">
        <f>SUM(Z184:Z194)</f>
        <v>0</v>
      </c>
      <c r="S141" s="76">
        <f>SUM(Z195:Z205)</f>
        <v>0</v>
      </c>
      <c r="T141" s="76">
        <f>SUM(Z206:Z216)</f>
        <v>0</v>
      </c>
      <c r="U141" s="76">
        <f>SUM(Z217:Z227)</f>
        <v>0</v>
      </c>
      <c r="V141" s="77">
        <f t="shared" si="28"/>
        <v>0</v>
      </c>
      <c r="W141" s="275"/>
      <c r="X141" s="275"/>
    </row>
    <row r="142" spans="1:24" ht="16.95" customHeight="1" collapsed="1">
      <c r="A142" s="66">
        <f>A155</f>
        <v>0</v>
      </c>
      <c r="B142" s="100"/>
      <c r="C142" s="100"/>
      <c r="D142" s="101">
        <f>(C142-B142+(C142&lt;B142))*24*60</f>
        <v>0</v>
      </c>
      <c r="E142" s="102"/>
      <c r="F142" s="103">
        <f>IF(E142=0,0,(F155/J118*60))</f>
        <v>0</v>
      </c>
      <c r="G142" s="87">
        <f>IF($K142=0,0,(K142*100)/(D142*$J$3/60))</f>
        <v>0</v>
      </c>
      <c r="H142" s="103">
        <f>S134+S141</f>
        <v>0</v>
      </c>
      <c r="I142" s="104">
        <f>D142-F142-S142</f>
        <v>0</v>
      </c>
      <c r="J142" s="101">
        <f>(D142-H142)/60*E142</f>
        <v>0</v>
      </c>
      <c r="K142" s="279">
        <f>F155</f>
        <v>0</v>
      </c>
      <c r="L142" s="327">
        <f>IF($K142=0,0,K142/J142)</f>
        <v>0</v>
      </c>
      <c r="N142" s="105" t="s">
        <v>68</v>
      </c>
      <c r="O142" s="105"/>
      <c r="P142" s="77">
        <f t="shared" ref="P142:U142" si="29">SUM(P133:P141)</f>
        <v>0</v>
      </c>
      <c r="Q142" s="77">
        <f t="shared" si="29"/>
        <v>0</v>
      </c>
      <c r="R142" s="77">
        <f t="shared" si="29"/>
        <v>0</v>
      </c>
      <c r="S142" s="77">
        <f t="shared" si="29"/>
        <v>0</v>
      </c>
      <c r="T142" s="77">
        <f t="shared" si="29"/>
        <v>0</v>
      </c>
      <c r="U142" s="77">
        <f t="shared" si="29"/>
        <v>0</v>
      </c>
      <c r="V142" s="77">
        <f>P142+Q142+R142+S142+T142+U142</f>
        <v>0</v>
      </c>
      <c r="W142" s="275"/>
      <c r="X142" s="275"/>
    </row>
    <row r="143" spans="1:24" ht="16.95" customHeight="1" thickBot="1">
      <c r="A143" s="78"/>
      <c r="B143" s="90"/>
      <c r="C143" s="90"/>
      <c r="D143" s="91"/>
      <c r="E143" s="92"/>
      <c r="F143" s="93"/>
      <c r="G143" s="94"/>
      <c r="H143" s="93"/>
      <c r="I143" s="94"/>
      <c r="J143" s="91"/>
      <c r="K143" s="280"/>
      <c r="L143" s="328">
        <f>K142-J142</f>
        <v>0</v>
      </c>
      <c r="N143" s="105"/>
      <c r="O143" s="105"/>
      <c r="P143" s="77"/>
      <c r="Q143" s="77"/>
      <c r="R143" s="77"/>
      <c r="S143" s="77"/>
      <c r="T143" s="77"/>
      <c r="U143" s="77"/>
      <c r="V143" s="77"/>
      <c r="W143" s="275"/>
      <c r="X143" s="275"/>
    </row>
    <row r="144" spans="1:24" ht="16.95" customHeight="1">
      <c r="A144" s="61">
        <f>A156</f>
        <v>0</v>
      </c>
      <c r="B144" s="83"/>
      <c r="C144" s="83"/>
      <c r="D144" s="84">
        <f>(C144-B144+(C144&lt;B144))*24*60</f>
        <v>0</v>
      </c>
      <c r="E144" s="85"/>
      <c r="F144" s="86">
        <f>IF(E144=0,0,(F156/J118*60))</f>
        <v>0</v>
      </c>
      <c r="G144" s="87">
        <f>IF($K144=0,0,(K144*100)/(D144*$J$3/60))</f>
        <v>0</v>
      </c>
      <c r="H144" s="86">
        <f>T134+T141</f>
        <v>0</v>
      </c>
      <c r="I144" s="87">
        <f>D144-F144-T142</f>
        <v>0</v>
      </c>
      <c r="J144" s="84">
        <f>(D144-H144)/60*E144</f>
        <v>0</v>
      </c>
      <c r="K144" s="279">
        <f>F156</f>
        <v>0</v>
      </c>
      <c r="L144" s="327">
        <f>IF($K144=0,0,K144/J144)</f>
        <v>0</v>
      </c>
      <c r="V144" s="275"/>
      <c r="W144" s="275"/>
      <c r="X144" s="275"/>
    </row>
    <row r="145" spans="1:26" ht="16.95" customHeight="1" thickBot="1">
      <c r="A145" s="78"/>
      <c r="B145" s="90"/>
      <c r="C145" s="90"/>
      <c r="D145" s="91"/>
      <c r="E145" s="92"/>
      <c r="F145" s="93"/>
      <c r="G145" s="94"/>
      <c r="H145" s="93"/>
      <c r="I145" s="94"/>
      <c r="J145" s="91"/>
      <c r="K145" s="280"/>
      <c r="L145" s="328">
        <f>K144-J144</f>
        <v>0</v>
      </c>
      <c r="V145" s="275"/>
      <c r="W145" s="275"/>
      <c r="X145" s="275"/>
    </row>
    <row r="146" spans="1:26" ht="16.95" customHeight="1">
      <c r="A146" s="61">
        <f>A157</f>
        <v>0</v>
      </c>
      <c r="B146" s="83"/>
      <c r="C146" s="83"/>
      <c r="D146" s="84">
        <f>(C146-B146+(C146&lt;B146))*24*60</f>
        <v>0</v>
      </c>
      <c r="E146" s="85"/>
      <c r="F146" s="86">
        <f>IF(E146=0,0,(F157/J118*60))</f>
        <v>0</v>
      </c>
      <c r="G146" s="87">
        <f>IF($K146=0,0,(K146*100)/(D146*$J$3/60))</f>
        <v>0</v>
      </c>
      <c r="H146" s="86">
        <f>U134+U141</f>
        <v>0</v>
      </c>
      <c r="I146" s="87">
        <f>D146-F146-U142</f>
        <v>0</v>
      </c>
      <c r="J146" s="84">
        <f>(D146-H146)/60*E146</f>
        <v>0</v>
      </c>
      <c r="K146" s="279">
        <f>F157</f>
        <v>0</v>
      </c>
      <c r="L146" s="327">
        <f>IF($K146=0,0,K146/J146)</f>
        <v>0</v>
      </c>
      <c r="V146" s="275"/>
      <c r="W146" s="275"/>
      <c r="X146" s="275"/>
    </row>
    <row r="147" spans="1:26" ht="16.95" customHeight="1" thickBot="1">
      <c r="A147" s="78"/>
      <c r="B147" s="90"/>
      <c r="C147" s="90"/>
      <c r="D147" s="91"/>
      <c r="E147" s="92"/>
      <c r="F147" s="93"/>
      <c r="G147" s="94"/>
      <c r="H147" s="93"/>
      <c r="I147" s="94"/>
      <c r="J147" s="91"/>
      <c r="K147" s="280"/>
      <c r="L147" s="330">
        <f>K146-J146</f>
        <v>0</v>
      </c>
      <c r="V147" s="275"/>
      <c r="W147" s="275"/>
      <c r="X147" s="275"/>
    </row>
    <row r="148" spans="1:26" s="331" customFormat="1" ht="17.25" customHeight="1">
      <c r="A148" s="108" t="s">
        <v>69</v>
      </c>
      <c r="B148" s="108"/>
      <c r="C148" s="108"/>
      <c r="D148" s="108"/>
      <c r="E148" s="108"/>
      <c r="F148" s="108"/>
      <c r="G148" s="108"/>
      <c r="H148" s="108"/>
      <c r="I148" s="109"/>
      <c r="J148" s="110" t="s">
        <v>70</v>
      </c>
      <c r="K148" s="111" t="s">
        <v>71</v>
      </c>
      <c r="L148" s="112">
        <f>IF($K149=0,0,K149/J149)</f>
        <v>0</v>
      </c>
      <c r="N148" s="303"/>
      <c r="O148" s="303"/>
      <c r="P148" s="303"/>
      <c r="Q148" s="303"/>
      <c r="R148" s="303"/>
      <c r="S148" s="303"/>
      <c r="T148" s="303"/>
      <c r="U148" s="303"/>
      <c r="V148" s="275"/>
      <c r="W148" s="332"/>
      <c r="X148" s="332"/>
    </row>
    <row r="149" spans="1:26" ht="17.25" customHeight="1" thickBot="1">
      <c r="A149" s="115"/>
      <c r="B149" s="115"/>
      <c r="C149" s="115"/>
      <c r="D149" s="115"/>
      <c r="E149" s="115"/>
      <c r="F149" s="115"/>
      <c r="G149" s="115"/>
      <c r="H149" s="115"/>
      <c r="I149" s="116"/>
      <c r="J149" s="117">
        <f>J136+J138+J140+J142+J144+J146</f>
        <v>0</v>
      </c>
      <c r="K149" s="111">
        <f>K136+K138+K140+K142+K144+K146</f>
        <v>0</v>
      </c>
      <c r="L149" s="118"/>
      <c r="M149" s="275"/>
      <c r="V149" s="275"/>
      <c r="W149" s="275"/>
      <c r="X149" s="275"/>
    </row>
    <row r="150" spans="1:26" ht="17.25" customHeight="1">
      <c r="A150" s="119" t="s">
        <v>72</v>
      </c>
      <c r="B150" s="120"/>
      <c r="C150" s="120"/>
      <c r="D150" s="120"/>
      <c r="E150" s="121"/>
      <c r="F150" s="61" t="s">
        <v>73</v>
      </c>
      <c r="G150" s="61" t="s">
        <v>149</v>
      </c>
      <c r="H150" s="122"/>
      <c r="I150" s="123"/>
      <c r="J150" s="333"/>
      <c r="K150" s="334"/>
      <c r="L150" s="122" t="s">
        <v>75</v>
      </c>
      <c r="M150" s="335"/>
      <c r="V150" s="275"/>
      <c r="W150" s="336"/>
      <c r="X150" s="336"/>
    </row>
    <row r="151" spans="1:26" ht="17.25" customHeight="1" thickBot="1">
      <c r="A151" s="129"/>
      <c r="B151" s="130"/>
      <c r="C151" s="130"/>
      <c r="D151" s="130"/>
      <c r="E151" s="131"/>
      <c r="F151" s="73"/>
      <c r="G151" s="66"/>
      <c r="H151" s="132"/>
      <c r="I151" s="337"/>
      <c r="J151" s="124"/>
      <c r="K151" s="125"/>
      <c r="L151" s="126"/>
      <c r="M151" s="335"/>
      <c r="V151" s="275"/>
      <c r="W151" s="336"/>
      <c r="X151" s="336"/>
    </row>
    <row r="152" spans="1:26" ht="15.6" thickBot="1">
      <c r="A152" s="282"/>
      <c r="B152" s="283"/>
      <c r="C152" s="283"/>
      <c r="D152" s="283"/>
      <c r="E152" s="284"/>
      <c r="F152" s="140"/>
      <c r="G152" s="361"/>
      <c r="H152" s="362"/>
      <c r="I152" s="340"/>
      <c r="J152" s="363"/>
      <c r="K152" s="342">
        <f>G152</f>
        <v>0</v>
      </c>
      <c r="L152" s="364"/>
      <c r="M152" s="275"/>
      <c r="V152" s="275"/>
      <c r="W152" s="275"/>
      <c r="X152" s="275"/>
    </row>
    <row r="153" spans="1:26" ht="13.5" customHeight="1" thickBot="1">
      <c r="A153" s="137"/>
      <c r="B153" s="138"/>
      <c r="C153" s="138"/>
      <c r="D153" s="138"/>
      <c r="E153" s="139"/>
      <c r="F153" s="140"/>
      <c r="G153" s="349"/>
      <c r="H153" s="365"/>
      <c r="I153" s="347"/>
      <c r="J153" s="366"/>
      <c r="K153" s="145">
        <f t="shared" ref="K153:K157" si="30">G153</f>
        <v>0</v>
      </c>
      <c r="L153" s="367"/>
      <c r="M153" s="275"/>
      <c r="V153" s="275"/>
      <c r="W153" s="275"/>
      <c r="X153" s="275"/>
    </row>
    <row r="154" spans="1:26" ht="13.5" customHeight="1" thickBot="1">
      <c r="A154" s="137"/>
      <c r="B154" s="138"/>
      <c r="C154" s="138"/>
      <c r="D154" s="138"/>
      <c r="E154" s="139"/>
      <c r="F154" s="140"/>
      <c r="G154" s="349"/>
      <c r="H154" s="365"/>
      <c r="I154" s="347"/>
      <c r="J154" s="366"/>
      <c r="K154" s="145">
        <f t="shared" si="30"/>
        <v>0</v>
      </c>
      <c r="L154" s="367"/>
      <c r="M154" s="275"/>
      <c r="V154" s="275"/>
      <c r="W154" s="275"/>
      <c r="X154" s="275"/>
    </row>
    <row r="155" spans="1:26" ht="13.5" customHeight="1" thickBot="1">
      <c r="A155" s="137"/>
      <c r="B155" s="138"/>
      <c r="C155" s="138"/>
      <c r="D155" s="138"/>
      <c r="E155" s="139"/>
      <c r="F155" s="140"/>
      <c r="G155" s="349"/>
      <c r="H155" s="365"/>
      <c r="I155" s="347"/>
      <c r="J155" s="366"/>
      <c r="K155" s="145">
        <f t="shared" si="30"/>
        <v>0</v>
      </c>
      <c r="L155" s="367"/>
      <c r="M155" s="275"/>
      <c r="V155" s="275"/>
      <c r="W155" s="275"/>
      <c r="X155" s="275"/>
    </row>
    <row r="156" spans="1:26" ht="13.5" customHeight="1" thickBot="1">
      <c r="A156" s="137"/>
      <c r="B156" s="138"/>
      <c r="C156" s="138"/>
      <c r="D156" s="138"/>
      <c r="E156" s="139"/>
      <c r="F156" s="140"/>
      <c r="G156" s="349"/>
      <c r="H156" s="365"/>
      <c r="I156" s="347"/>
      <c r="J156" s="366"/>
      <c r="K156" s="145">
        <f t="shared" si="30"/>
        <v>0</v>
      </c>
      <c r="L156" s="367"/>
      <c r="M156" s="275"/>
      <c r="V156" s="275"/>
      <c r="W156" s="275"/>
      <c r="X156" s="275"/>
    </row>
    <row r="157" spans="1:26" ht="13.5" customHeight="1" thickBot="1">
      <c r="A157" s="153"/>
      <c r="B157" s="154"/>
      <c r="C157" s="154"/>
      <c r="D157" s="154"/>
      <c r="E157" s="155"/>
      <c r="F157" s="140"/>
      <c r="G157" s="349"/>
      <c r="H157" s="365"/>
      <c r="I157" s="352"/>
      <c r="J157" s="368"/>
      <c r="K157" s="354">
        <f t="shared" si="30"/>
        <v>0</v>
      </c>
      <c r="L157" s="369"/>
      <c r="M157" s="275"/>
      <c r="V157" s="275"/>
      <c r="W157" s="275"/>
      <c r="X157" s="275"/>
    </row>
    <row r="158" spans="1:26" ht="13.8" thickBot="1">
      <c r="A158" s="156" t="s">
        <v>153</v>
      </c>
      <c r="B158" s="157"/>
      <c r="C158" s="157"/>
      <c r="D158" s="157"/>
      <c r="E158" s="157"/>
      <c r="F158" s="158"/>
      <c r="G158" s="158"/>
      <c r="H158" s="158"/>
      <c r="I158" s="157"/>
      <c r="J158" s="356"/>
      <c r="K158" s="357">
        <f>SUM(K152:K157)</f>
        <v>0</v>
      </c>
      <c r="L158" s="357">
        <f>SUM(L153+L153)</f>
        <v>0</v>
      </c>
      <c r="M158" s="358"/>
      <c r="V158" s="275"/>
    </row>
    <row r="159" spans="1:26" ht="12.75" customHeight="1" thickBot="1"/>
    <row r="160" spans="1:26" ht="12.75" customHeight="1" thickBot="1">
      <c r="A160" s="162" t="s">
        <v>72</v>
      </c>
      <c r="B160" s="162" t="s">
        <v>78</v>
      </c>
      <c r="C160" s="163"/>
      <c r="D160" s="164" t="s">
        <v>79</v>
      </c>
      <c r="E160" s="163" t="s">
        <v>80</v>
      </c>
      <c r="F160" s="165" t="s">
        <v>81</v>
      </c>
      <c r="G160" s="166"/>
      <c r="H160" s="164" t="s">
        <v>82</v>
      </c>
      <c r="I160" s="167" t="s">
        <v>83</v>
      </c>
      <c r="J160" s="168"/>
      <c r="K160" s="164" t="s">
        <v>84</v>
      </c>
      <c r="L160" s="162" t="s">
        <v>85</v>
      </c>
      <c r="M160" s="165"/>
      <c r="N160" s="166"/>
      <c r="O160" s="164" t="s">
        <v>86</v>
      </c>
      <c r="P160" s="164" t="s">
        <v>87</v>
      </c>
      <c r="Q160" s="164" t="s">
        <v>88</v>
      </c>
      <c r="S160" s="169" t="s">
        <v>89</v>
      </c>
      <c r="T160" s="170"/>
      <c r="U160" s="170"/>
      <c r="V160" s="170"/>
      <c r="W160" s="170"/>
      <c r="X160" s="170"/>
      <c r="Y160" s="170"/>
      <c r="Z160" s="171"/>
    </row>
    <row r="161" spans="1:28" s="310" customFormat="1" ht="25.5" customHeight="1" thickBot="1">
      <c r="A161" s="172"/>
      <c r="B161" s="172"/>
      <c r="C161" s="173"/>
      <c r="D161" s="174"/>
      <c r="E161" s="175"/>
      <c r="F161" s="176"/>
      <c r="G161" s="177"/>
      <c r="H161" s="178"/>
      <c r="I161" s="179" t="s">
        <v>90</v>
      </c>
      <c r="J161" s="180" t="s">
        <v>91</v>
      </c>
      <c r="K161" s="174"/>
      <c r="L161" s="172"/>
      <c r="M161" s="181"/>
      <c r="N161" s="182"/>
      <c r="O161" s="174"/>
      <c r="P161" s="174"/>
      <c r="Q161" s="174"/>
      <c r="R161" s="303"/>
      <c r="S161" s="183" t="s">
        <v>92</v>
      </c>
      <c r="T161" s="183" t="s">
        <v>61</v>
      </c>
      <c r="U161" s="183" t="s">
        <v>62</v>
      </c>
      <c r="V161" s="183" t="s">
        <v>63</v>
      </c>
      <c r="W161" s="183" t="s">
        <v>64</v>
      </c>
      <c r="X161" s="183" t="s">
        <v>65</v>
      </c>
      <c r="Y161" s="183" t="s">
        <v>66</v>
      </c>
      <c r="Z161" s="183" t="s">
        <v>67</v>
      </c>
      <c r="AA161" s="303"/>
    </row>
    <row r="162" spans="1:28" s="359" customFormat="1" ht="29.25" customHeight="1">
      <c r="A162" s="184">
        <f>A152</f>
        <v>0</v>
      </c>
      <c r="B162" s="185">
        <f>B136</f>
        <v>0</v>
      </c>
      <c r="C162" s="185">
        <f>B162+1/24</f>
        <v>4.1666666666666664E-2</v>
      </c>
      <c r="D162" s="186"/>
      <c r="E162" s="187"/>
      <c r="F162" s="188"/>
      <c r="G162" s="189"/>
      <c r="H162" s="190"/>
      <c r="I162" s="191"/>
      <c r="J162" s="191"/>
      <c r="K162" s="192">
        <f>(J162-I162+(J162&lt;I162))*24*60</f>
        <v>0</v>
      </c>
      <c r="L162" s="193"/>
      <c r="M162" s="194"/>
      <c r="N162" s="195"/>
      <c r="O162" s="196">
        <f t="shared" ref="O162:O225" si="31">IF(H162=$V$5,$F$122,"")</f>
        <v>0</v>
      </c>
      <c r="P162" s="187"/>
      <c r="Q162" s="197"/>
      <c r="R162" s="303"/>
      <c r="S162" s="198">
        <f>IF($H162="ПЛАНОВЫЕ",$K162,0)</f>
        <v>0</v>
      </c>
      <c r="T162" s="198">
        <f>IF($H162="ПРОИЗВОДСТВЕННЫЕ",$K162,0)</f>
        <v>0</v>
      </c>
      <c r="U162" s="198">
        <f>IF($H162="ТЕХНИЧЕСКИЕ",$K162,0)</f>
        <v>0</v>
      </c>
      <c r="V162" s="198">
        <f>IF($H162="ТЕХНОЛОГИЧЕСКИЕ",$K162,0)</f>
        <v>0</v>
      </c>
      <c r="W162" s="198">
        <f>IF($H162="ЛАБОРАТОРНЫЕ",$K162,0)</f>
        <v>0</v>
      </c>
      <c r="X162" s="198">
        <f>IF($H162="СЫРЬЕВЫЕ",$K162,0)</f>
        <v>0</v>
      </c>
      <c r="Y162" s="198">
        <f>IF($H162="ЛОГИСТИЧЕСКИЕ",$K162,0)</f>
        <v>0</v>
      </c>
      <c r="Z162" s="198">
        <f>IF($H162="ОБЩЕЗАВОДСКИЕ",$K162,0)</f>
        <v>0</v>
      </c>
      <c r="AB162" s="360"/>
    </row>
    <row r="163" spans="1:28" s="359" customFormat="1" ht="29.25" customHeight="1">
      <c r="A163" s="201"/>
      <c r="B163" s="202">
        <f>C162</f>
        <v>4.1666666666666664E-2</v>
      </c>
      <c r="C163" s="202">
        <f>B163+1/24</f>
        <v>8.3333333333333329E-2</v>
      </c>
      <c r="D163" s="203"/>
      <c r="E163" s="204"/>
      <c r="F163" s="215"/>
      <c r="G163" s="215"/>
      <c r="H163" s="214"/>
      <c r="I163" s="207"/>
      <c r="J163" s="207"/>
      <c r="K163" s="208">
        <f t="shared" ref="K163:K226" si="32">(J163-I163+(J163&lt;I163))*24*60</f>
        <v>0</v>
      </c>
      <c r="L163" s="209"/>
      <c r="M163" s="210"/>
      <c r="N163" s="211"/>
      <c r="O163" s="212">
        <f t="shared" si="31"/>
        <v>0</v>
      </c>
      <c r="P163" s="204"/>
      <c r="Q163" s="213"/>
      <c r="R163" s="303"/>
      <c r="S163" s="198">
        <f t="shared" ref="S163:S226" si="33">IF($H163="ПЛАНОВЫЕ",$K163,0)</f>
        <v>0</v>
      </c>
      <c r="T163" s="198">
        <f t="shared" ref="T163:T226" si="34">IF($H163="ПРОИЗВОДСТВЕННЫЕ",$K163,0)</f>
        <v>0</v>
      </c>
      <c r="U163" s="198">
        <f t="shared" ref="U163:U226" si="35">IF($H163="ТЕХНИЧЕСКИЕ",$K163,0)</f>
        <v>0</v>
      </c>
      <c r="V163" s="198">
        <f t="shared" ref="V163:V226" si="36">IF($H163="ТЕХНОЛОГИЧЕСКИЕ",$K163,0)</f>
        <v>0</v>
      </c>
      <c r="W163" s="198">
        <f t="shared" ref="W163:W226" si="37">IF($H163="ЛАБОРАТОРНЫЕ",$K163,0)</f>
        <v>0</v>
      </c>
      <c r="X163" s="198">
        <f t="shared" ref="X163:X226" si="38">IF($H163="СЫРЬЕВЫЕ",$K163,0)</f>
        <v>0</v>
      </c>
      <c r="Y163" s="198">
        <f t="shared" ref="Y163:Y226" si="39">IF($H163="ЛОГИСТИЧЕСКИЕ",$K163,0)</f>
        <v>0</v>
      </c>
      <c r="Z163" s="198">
        <f t="shared" ref="Z163:Z226" si="40">IF($H163="ОБЩЕЗАВОДСКИЕ",$K163,0)</f>
        <v>0</v>
      </c>
      <c r="AB163" s="360"/>
    </row>
    <row r="164" spans="1:28" s="359" customFormat="1" ht="29.25" customHeight="1">
      <c r="A164" s="201"/>
      <c r="B164" s="202">
        <f t="shared" ref="B164:B173" si="41">C163</f>
        <v>8.3333333333333329E-2</v>
      </c>
      <c r="C164" s="202">
        <f t="shared" ref="C164:C173" si="42">B164+1/24</f>
        <v>0.125</v>
      </c>
      <c r="D164" s="203"/>
      <c r="E164" s="204"/>
      <c r="F164" s="215"/>
      <c r="G164" s="215"/>
      <c r="H164" s="214"/>
      <c r="I164" s="207"/>
      <c r="J164" s="207"/>
      <c r="K164" s="208">
        <f t="shared" si="32"/>
        <v>0</v>
      </c>
      <c r="L164" s="209"/>
      <c r="M164" s="210"/>
      <c r="N164" s="211"/>
      <c r="O164" s="212">
        <f t="shared" si="31"/>
        <v>0</v>
      </c>
      <c r="P164" s="204"/>
      <c r="Q164" s="213"/>
      <c r="R164" s="303"/>
      <c r="S164" s="198">
        <f t="shared" si="33"/>
        <v>0</v>
      </c>
      <c r="T164" s="198">
        <f t="shared" si="34"/>
        <v>0</v>
      </c>
      <c r="U164" s="198">
        <f t="shared" si="35"/>
        <v>0</v>
      </c>
      <c r="V164" s="198">
        <f t="shared" si="36"/>
        <v>0</v>
      </c>
      <c r="W164" s="198">
        <f t="shared" si="37"/>
        <v>0</v>
      </c>
      <c r="X164" s="198">
        <f t="shared" si="38"/>
        <v>0</v>
      </c>
      <c r="Y164" s="198">
        <f t="shared" si="39"/>
        <v>0</v>
      </c>
      <c r="Z164" s="198">
        <f t="shared" si="40"/>
        <v>0</v>
      </c>
      <c r="AB164" s="360"/>
    </row>
    <row r="165" spans="1:28" s="359" customFormat="1" ht="29.25" customHeight="1">
      <c r="A165" s="201"/>
      <c r="B165" s="202">
        <f t="shared" si="41"/>
        <v>0.125</v>
      </c>
      <c r="C165" s="202">
        <f t="shared" si="42"/>
        <v>0.16666666666666666</v>
      </c>
      <c r="D165" s="203"/>
      <c r="E165" s="204"/>
      <c r="F165" s="215"/>
      <c r="G165" s="215"/>
      <c r="H165" s="214"/>
      <c r="I165" s="207"/>
      <c r="J165" s="207"/>
      <c r="K165" s="208">
        <f t="shared" si="32"/>
        <v>0</v>
      </c>
      <c r="L165" s="209"/>
      <c r="M165" s="210"/>
      <c r="N165" s="211"/>
      <c r="O165" s="212">
        <f t="shared" si="31"/>
        <v>0</v>
      </c>
      <c r="P165" s="204"/>
      <c r="Q165" s="213"/>
      <c r="R165" s="303"/>
      <c r="S165" s="198">
        <f t="shared" si="33"/>
        <v>0</v>
      </c>
      <c r="T165" s="198">
        <f t="shared" si="34"/>
        <v>0</v>
      </c>
      <c r="U165" s="198">
        <f t="shared" si="35"/>
        <v>0</v>
      </c>
      <c r="V165" s="198">
        <f t="shared" si="36"/>
        <v>0</v>
      </c>
      <c r="W165" s="198">
        <f t="shared" si="37"/>
        <v>0</v>
      </c>
      <c r="X165" s="198">
        <f t="shared" si="38"/>
        <v>0</v>
      </c>
      <c r="Y165" s="198">
        <f t="shared" si="39"/>
        <v>0</v>
      </c>
      <c r="Z165" s="198">
        <f t="shared" si="40"/>
        <v>0</v>
      </c>
      <c r="AB165" s="360"/>
    </row>
    <row r="166" spans="1:28" s="359" customFormat="1" ht="29.25" customHeight="1">
      <c r="A166" s="201"/>
      <c r="B166" s="202">
        <f t="shared" si="41"/>
        <v>0.16666666666666666</v>
      </c>
      <c r="C166" s="202">
        <f t="shared" si="42"/>
        <v>0.20833333333333331</v>
      </c>
      <c r="D166" s="203"/>
      <c r="E166" s="204"/>
      <c r="F166" s="215"/>
      <c r="G166" s="215"/>
      <c r="H166" s="214"/>
      <c r="I166" s="207"/>
      <c r="J166" s="207"/>
      <c r="K166" s="208">
        <f t="shared" si="32"/>
        <v>0</v>
      </c>
      <c r="L166" s="209"/>
      <c r="M166" s="210"/>
      <c r="N166" s="211"/>
      <c r="O166" s="212">
        <f t="shared" si="31"/>
        <v>0</v>
      </c>
      <c r="P166" s="204"/>
      <c r="Q166" s="213"/>
      <c r="R166" s="303"/>
      <c r="S166" s="198">
        <f t="shared" si="33"/>
        <v>0</v>
      </c>
      <c r="T166" s="198">
        <f t="shared" si="34"/>
        <v>0</v>
      </c>
      <c r="U166" s="198">
        <f t="shared" si="35"/>
        <v>0</v>
      </c>
      <c r="V166" s="198">
        <f t="shared" si="36"/>
        <v>0</v>
      </c>
      <c r="W166" s="198">
        <f t="shared" si="37"/>
        <v>0</v>
      </c>
      <c r="X166" s="198">
        <f t="shared" si="38"/>
        <v>0</v>
      </c>
      <c r="Y166" s="198">
        <f t="shared" si="39"/>
        <v>0</v>
      </c>
      <c r="Z166" s="198">
        <f t="shared" si="40"/>
        <v>0</v>
      </c>
      <c r="AB166" s="360"/>
    </row>
    <row r="167" spans="1:28" s="359" customFormat="1" ht="29.25" customHeight="1">
      <c r="A167" s="201"/>
      <c r="B167" s="202">
        <f t="shared" si="41"/>
        <v>0.20833333333333331</v>
      </c>
      <c r="C167" s="202">
        <f t="shared" si="42"/>
        <v>0.24999999999999997</v>
      </c>
      <c r="D167" s="203"/>
      <c r="E167" s="204"/>
      <c r="F167" s="215"/>
      <c r="G167" s="215"/>
      <c r="H167" s="214"/>
      <c r="I167" s="207"/>
      <c r="J167" s="207"/>
      <c r="K167" s="208">
        <f t="shared" si="32"/>
        <v>0</v>
      </c>
      <c r="L167" s="209"/>
      <c r="M167" s="210"/>
      <c r="N167" s="211"/>
      <c r="O167" s="212">
        <f t="shared" si="31"/>
        <v>0</v>
      </c>
      <c r="P167" s="204"/>
      <c r="Q167" s="213"/>
      <c r="R167" s="303"/>
      <c r="S167" s="198">
        <f t="shared" si="33"/>
        <v>0</v>
      </c>
      <c r="T167" s="198">
        <f t="shared" si="34"/>
        <v>0</v>
      </c>
      <c r="U167" s="198">
        <f t="shared" si="35"/>
        <v>0</v>
      </c>
      <c r="V167" s="198">
        <f t="shared" si="36"/>
        <v>0</v>
      </c>
      <c r="W167" s="198">
        <f t="shared" si="37"/>
        <v>0</v>
      </c>
      <c r="X167" s="198">
        <f t="shared" si="38"/>
        <v>0</v>
      </c>
      <c r="Y167" s="198">
        <f t="shared" si="39"/>
        <v>0</v>
      </c>
      <c r="Z167" s="198">
        <f t="shared" si="40"/>
        <v>0</v>
      </c>
      <c r="AB167" s="360"/>
    </row>
    <row r="168" spans="1:28" s="359" customFormat="1" ht="29.25" customHeight="1">
      <c r="A168" s="201"/>
      <c r="B168" s="202">
        <f t="shared" si="41"/>
        <v>0.24999999999999997</v>
      </c>
      <c r="C168" s="202">
        <f t="shared" si="42"/>
        <v>0.29166666666666663</v>
      </c>
      <c r="D168" s="203"/>
      <c r="E168" s="216"/>
      <c r="F168" s="215"/>
      <c r="G168" s="215"/>
      <c r="H168" s="214"/>
      <c r="I168" s="207"/>
      <c r="J168" s="207"/>
      <c r="K168" s="208">
        <f t="shared" si="32"/>
        <v>0</v>
      </c>
      <c r="L168" s="209"/>
      <c r="M168" s="210"/>
      <c r="N168" s="211"/>
      <c r="O168" s="212">
        <f t="shared" si="31"/>
        <v>0</v>
      </c>
      <c r="P168" s="204"/>
      <c r="Q168" s="213"/>
      <c r="R168" s="303"/>
      <c r="S168" s="198">
        <f t="shared" si="33"/>
        <v>0</v>
      </c>
      <c r="T168" s="198">
        <f t="shared" si="34"/>
        <v>0</v>
      </c>
      <c r="U168" s="198">
        <f t="shared" si="35"/>
        <v>0</v>
      </c>
      <c r="V168" s="198">
        <f t="shared" si="36"/>
        <v>0</v>
      </c>
      <c r="W168" s="198">
        <f t="shared" si="37"/>
        <v>0</v>
      </c>
      <c r="X168" s="198">
        <f t="shared" si="38"/>
        <v>0</v>
      </c>
      <c r="Y168" s="198">
        <f t="shared" si="39"/>
        <v>0</v>
      </c>
      <c r="Z168" s="198">
        <f t="shared" si="40"/>
        <v>0</v>
      </c>
      <c r="AB168" s="360"/>
    </row>
    <row r="169" spans="1:28" s="359" customFormat="1" ht="29.25" customHeight="1">
      <c r="A169" s="201"/>
      <c r="B169" s="202">
        <f t="shared" si="41"/>
        <v>0.29166666666666663</v>
      </c>
      <c r="C169" s="202">
        <f t="shared" si="42"/>
        <v>0.33333333333333331</v>
      </c>
      <c r="D169" s="203"/>
      <c r="E169" s="216"/>
      <c r="F169" s="205"/>
      <c r="G169" s="206"/>
      <c r="H169" s="214"/>
      <c r="I169" s="207"/>
      <c r="J169" s="207"/>
      <c r="K169" s="208">
        <f t="shared" si="32"/>
        <v>0</v>
      </c>
      <c r="L169" s="209"/>
      <c r="M169" s="210"/>
      <c r="N169" s="211"/>
      <c r="O169" s="212">
        <f t="shared" si="31"/>
        <v>0</v>
      </c>
      <c r="P169" s="204"/>
      <c r="Q169" s="213"/>
      <c r="R169" s="303"/>
      <c r="S169" s="198">
        <f t="shared" si="33"/>
        <v>0</v>
      </c>
      <c r="T169" s="198">
        <f t="shared" si="34"/>
        <v>0</v>
      </c>
      <c r="U169" s="198">
        <f t="shared" si="35"/>
        <v>0</v>
      </c>
      <c r="V169" s="198">
        <f t="shared" si="36"/>
        <v>0</v>
      </c>
      <c r="W169" s="198">
        <f t="shared" si="37"/>
        <v>0</v>
      </c>
      <c r="X169" s="198">
        <f t="shared" si="38"/>
        <v>0</v>
      </c>
      <c r="Y169" s="198">
        <f t="shared" si="39"/>
        <v>0</v>
      </c>
      <c r="Z169" s="198">
        <f t="shared" si="40"/>
        <v>0</v>
      </c>
      <c r="AB169" s="360"/>
    </row>
    <row r="170" spans="1:28" s="359" customFormat="1" ht="29.25" customHeight="1">
      <c r="A170" s="201"/>
      <c r="B170" s="202">
        <f t="shared" si="41"/>
        <v>0.33333333333333331</v>
      </c>
      <c r="C170" s="202">
        <f t="shared" si="42"/>
        <v>0.375</v>
      </c>
      <c r="D170" s="203"/>
      <c r="E170" s="216"/>
      <c r="F170" s="205"/>
      <c r="G170" s="206"/>
      <c r="H170" s="214"/>
      <c r="I170" s="207"/>
      <c r="J170" s="207"/>
      <c r="K170" s="208">
        <f t="shared" si="32"/>
        <v>0</v>
      </c>
      <c r="L170" s="209"/>
      <c r="M170" s="210"/>
      <c r="N170" s="211"/>
      <c r="O170" s="212">
        <f t="shared" si="31"/>
        <v>0</v>
      </c>
      <c r="P170" s="204"/>
      <c r="Q170" s="213"/>
      <c r="R170" s="303"/>
      <c r="S170" s="198">
        <f t="shared" si="33"/>
        <v>0</v>
      </c>
      <c r="T170" s="198">
        <f t="shared" si="34"/>
        <v>0</v>
      </c>
      <c r="U170" s="198">
        <f t="shared" si="35"/>
        <v>0</v>
      </c>
      <c r="V170" s="198">
        <f t="shared" si="36"/>
        <v>0</v>
      </c>
      <c r="W170" s="198">
        <f t="shared" si="37"/>
        <v>0</v>
      </c>
      <c r="X170" s="198">
        <f t="shared" si="38"/>
        <v>0</v>
      </c>
      <c r="Y170" s="198">
        <f t="shared" si="39"/>
        <v>0</v>
      </c>
      <c r="Z170" s="198">
        <f t="shared" si="40"/>
        <v>0</v>
      </c>
      <c r="AB170" s="360"/>
    </row>
    <row r="171" spans="1:28" s="359" customFormat="1" ht="29.25" customHeight="1">
      <c r="A171" s="201"/>
      <c r="B171" s="202">
        <f t="shared" si="41"/>
        <v>0.375</v>
      </c>
      <c r="C171" s="202">
        <f t="shared" si="42"/>
        <v>0.41666666666666669</v>
      </c>
      <c r="D171" s="203"/>
      <c r="E171" s="216"/>
      <c r="F171" s="215"/>
      <c r="G171" s="215"/>
      <c r="H171" s="214"/>
      <c r="I171" s="207"/>
      <c r="J171" s="207"/>
      <c r="K171" s="208">
        <f t="shared" si="32"/>
        <v>0</v>
      </c>
      <c r="L171" s="209"/>
      <c r="M171" s="210"/>
      <c r="N171" s="211"/>
      <c r="O171" s="212">
        <f t="shared" si="31"/>
        <v>0</v>
      </c>
      <c r="P171" s="204"/>
      <c r="Q171" s="213"/>
      <c r="R171" s="303"/>
      <c r="S171" s="198">
        <f t="shared" si="33"/>
        <v>0</v>
      </c>
      <c r="T171" s="198">
        <f t="shared" si="34"/>
        <v>0</v>
      </c>
      <c r="U171" s="198">
        <f t="shared" si="35"/>
        <v>0</v>
      </c>
      <c r="V171" s="198">
        <f t="shared" si="36"/>
        <v>0</v>
      </c>
      <c r="W171" s="198">
        <f t="shared" si="37"/>
        <v>0</v>
      </c>
      <c r="X171" s="198">
        <f t="shared" si="38"/>
        <v>0</v>
      </c>
      <c r="Y171" s="198">
        <f t="shared" si="39"/>
        <v>0</v>
      </c>
      <c r="Z171" s="198">
        <f t="shared" si="40"/>
        <v>0</v>
      </c>
      <c r="AB171" s="360"/>
    </row>
    <row r="172" spans="1:28" s="359" customFormat="1" ht="29.25" customHeight="1">
      <c r="A172" s="201"/>
      <c r="B172" s="202">
        <f t="shared" si="41"/>
        <v>0.41666666666666669</v>
      </c>
      <c r="C172" s="202">
        <f t="shared" si="42"/>
        <v>0.45833333333333337</v>
      </c>
      <c r="D172" s="217"/>
      <c r="E172" s="216"/>
      <c r="F172" s="215"/>
      <c r="G172" s="215"/>
      <c r="H172" s="214"/>
      <c r="I172" s="207"/>
      <c r="J172" s="207"/>
      <c r="K172" s="208">
        <f t="shared" si="32"/>
        <v>0</v>
      </c>
      <c r="L172" s="209"/>
      <c r="M172" s="210"/>
      <c r="N172" s="211"/>
      <c r="O172" s="212">
        <f t="shared" si="31"/>
        <v>0</v>
      </c>
      <c r="P172" s="204"/>
      <c r="Q172" s="213"/>
      <c r="R172" s="303"/>
      <c r="S172" s="198">
        <f t="shared" si="33"/>
        <v>0</v>
      </c>
      <c r="T172" s="198">
        <f t="shared" si="34"/>
        <v>0</v>
      </c>
      <c r="U172" s="198">
        <f t="shared" si="35"/>
        <v>0</v>
      </c>
      <c r="V172" s="198">
        <f t="shared" si="36"/>
        <v>0</v>
      </c>
      <c r="W172" s="198">
        <f t="shared" si="37"/>
        <v>0</v>
      </c>
      <c r="X172" s="198">
        <f t="shared" si="38"/>
        <v>0</v>
      </c>
      <c r="Y172" s="198">
        <f t="shared" si="39"/>
        <v>0</v>
      </c>
      <c r="Z172" s="198">
        <f t="shared" si="40"/>
        <v>0</v>
      </c>
      <c r="AB172" s="360"/>
    </row>
    <row r="173" spans="1:28" s="359" customFormat="1" ht="29.25" customHeight="1" thickBot="1">
      <c r="A173" s="218"/>
      <c r="B173" s="219">
        <f t="shared" si="41"/>
        <v>0.45833333333333337</v>
      </c>
      <c r="C173" s="220">
        <f t="shared" si="42"/>
        <v>0.5</v>
      </c>
      <c r="D173" s="221"/>
      <c r="E173" s="221"/>
      <c r="F173" s="222"/>
      <c r="G173" s="222"/>
      <c r="H173" s="214"/>
      <c r="I173" s="223"/>
      <c r="J173" s="223"/>
      <c r="K173" s="224">
        <f t="shared" si="32"/>
        <v>0</v>
      </c>
      <c r="L173" s="225"/>
      <c r="M173" s="226"/>
      <c r="N173" s="227"/>
      <c r="O173" s="286">
        <f t="shared" si="31"/>
        <v>0</v>
      </c>
      <c r="P173" s="228"/>
      <c r="Q173" s="229"/>
      <c r="R173" s="303"/>
      <c r="S173" s="198">
        <f t="shared" si="33"/>
        <v>0</v>
      </c>
      <c r="T173" s="198">
        <f t="shared" si="34"/>
        <v>0</v>
      </c>
      <c r="U173" s="198">
        <f t="shared" si="35"/>
        <v>0</v>
      </c>
      <c r="V173" s="198">
        <f t="shared" si="36"/>
        <v>0</v>
      </c>
      <c r="W173" s="198">
        <f t="shared" si="37"/>
        <v>0</v>
      </c>
      <c r="X173" s="198">
        <f t="shared" si="38"/>
        <v>0</v>
      </c>
      <c r="Y173" s="198">
        <f t="shared" si="39"/>
        <v>0</v>
      </c>
      <c r="Z173" s="198">
        <f t="shared" si="40"/>
        <v>0</v>
      </c>
      <c r="AB173" s="360"/>
    </row>
    <row r="174" spans="1:28" s="359" customFormat="1" ht="29.25" customHeight="1">
      <c r="A174" s="184">
        <f>A153</f>
        <v>0</v>
      </c>
      <c r="B174" s="185">
        <f>B138</f>
        <v>0</v>
      </c>
      <c r="C174" s="185">
        <f>B174+1/24</f>
        <v>4.1666666666666664E-2</v>
      </c>
      <c r="D174" s="186"/>
      <c r="E174" s="187"/>
      <c r="F174" s="188"/>
      <c r="G174" s="189"/>
      <c r="H174" s="190"/>
      <c r="I174" s="191"/>
      <c r="J174" s="191"/>
      <c r="K174" s="192">
        <f t="shared" si="32"/>
        <v>0</v>
      </c>
      <c r="L174" s="193"/>
      <c r="M174" s="194"/>
      <c r="N174" s="195"/>
      <c r="O174" s="196">
        <f t="shared" si="31"/>
        <v>0</v>
      </c>
      <c r="P174" s="187"/>
      <c r="Q174" s="197"/>
      <c r="R174" s="303"/>
      <c r="S174" s="198">
        <f t="shared" si="33"/>
        <v>0</v>
      </c>
      <c r="T174" s="198">
        <f t="shared" si="34"/>
        <v>0</v>
      </c>
      <c r="U174" s="198">
        <f t="shared" si="35"/>
        <v>0</v>
      </c>
      <c r="V174" s="198">
        <f t="shared" si="36"/>
        <v>0</v>
      </c>
      <c r="W174" s="198">
        <f t="shared" si="37"/>
        <v>0</v>
      </c>
      <c r="X174" s="198">
        <f t="shared" si="38"/>
        <v>0</v>
      </c>
      <c r="Y174" s="198">
        <f t="shared" si="39"/>
        <v>0</v>
      </c>
      <c r="Z174" s="198">
        <f t="shared" si="40"/>
        <v>0</v>
      </c>
      <c r="AB174" s="360"/>
    </row>
    <row r="175" spans="1:28" s="359" customFormat="1" ht="29.25" customHeight="1">
      <c r="A175" s="201"/>
      <c r="B175" s="202">
        <f>C174</f>
        <v>4.1666666666666664E-2</v>
      </c>
      <c r="C175" s="202">
        <f>B175+1/24</f>
        <v>8.3333333333333329E-2</v>
      </c>
      <c r="D175" s="203"/>
      <c r="E175" s="204"/>
      <c r="F175" s="215"/>
      <c r="G175" s="215"/>
      <c r="H175" s="214"/>
      <c r="I175" s="207"/>
      <c r="J175" s="207"/>
      <c r="K175" s="208">
        <f t="shared" si="32"/>
        <v>0</v>
      </c>
      <c r="L175" s="209"/>
      <c r="M175" s="210"/>
      <c r="N175" s="211"/>
      <c r="O175" s="212">
        <f t="shared" si="31"/>
        <v>0</v>
      </c>
      <c r="P175" s="204"/>
      <c r="Q175" s="213"/>
      <c r="R175" s="303"/>
      <c r="S175" s="198">
        <f t="shared" si="33"/>
        <v>0</v>
      </c>
      <c r="T175" s="198">
        <f t="shared" si="34"/>
        <v>0</v>
      </c>
      <c r="U175" s="198">
        <f t="shared" si="35"/>
        <v>0</v>
      </c>
      <c r="V175" s="198">
        <f t="shared" si="36"/>
        <v>0</v>
      </c>
      <c r="W175" s="198">
        <f t="shared" si="37"/>
        <v>0</v>
      </c>
      <c r="X175" s="198">
        <f t="shared" si="38"/>
        <v>0</v>
      </c>
      <c r="Y175" s="198">
        <f t="shared" si="39"/>
        <v>0</v>
      </c>
      <c r="Z175" s="198">
        <f t="shared" si="40"/>
        <v>0</v>
      </c>
      <c r="AB175" s="360"/>
    </row>
    <row r="176" spans="1:28" s="359" customFormat="1" ht="29.25" customHeight="1">
      <c r="A176" s="201"/>
      <c r="B176" s="202">
        <f t="shared" ref="B176:B184" si="43">C175</f>
        <v>8.3333333333333329E-2</v>
      </c>
      <c r="C176" s="202">
        <f t="shared" ref="C176:C184" si="44">B176+1/24</f>
        <v>0.125</v>
      </c>
      <c r="D176" s="203"/>
      <c r="E176" s="204"/>
      <c r="F176" s="215"/>
      <c r="G176" s="215"/>
      <c r="H176" s="214"/>
      <c r="I176" s="207"/>
      <c r="J176" s="207"/>
      <c r="K176" s="208">
        <f t="shared" si="32"/>
        <v>0</v>
      </c>
      <c r="L176" s="209"/>
      <c r="M176" s="210"/>
      <c r="N176" s="211"/>
      <c r="O176" s="212">
        <f t="shared" si="31"/>
        <v>0</v>
      </c>
      <c r="P176" s="204"/>
      <c r="Q176" s="213"/>
      <c r="R176" s="303"/>
      <c r="S176" s="198">
        <f t="shared" si="33"/>
        <v>0</v>
      </c>
      <c r="T176" s="198">
        <f t="shared" si="34"/>
        <v>0</v>
      </c>
      <c r="U176" s="198">
        <f t="shared" si="35"/>
        <v>0</v>
      </c>
      <c r="V176" s="198">
        <f t="shared" si="36"/>
        <v>0</v>
      </c>
      <c r="W176" s="198">
        <f t="shared" si="37"/>
        <v>0</v>
      </c>
      <c r="X176" s="198">
        <f t="shared" si="38"/>
        <v>0</v>
      </c>
      <c r="Y176" s="198">
        <f t="shared" si="39"/>
        <v>0</v>
      </c>
      <c r="Z176" s="198">
        <f t="shared" si="40"/>
        <v>0</v>
      </c>
      <c r="AB176" s="360"/>
    </row>
    <row r="177" spans="1:28" s="359" customFormat="1" ht="29.25" customHeight="1">
      <c r="A177" s="201"/>
      <c r="B177" s="202">
        <f t="shared" si="43"/>
        <v>0.125</v>
      </c>
      <c r="C177" s="202">
        <f t="shared" si="44"/>
        <v>0.16666666666666666</v>
      </c>
      <c r="D177" s="203"/>
      <c r="E177" s="204"/>
      <c r="F177" s="215"/>
      <c r="G177" s="215"/>
      <c r="H177" s="214"/>
      <c r="I177" s="207"/>
      <c r="J177" s="207"/>
      <c r="K177" s="208">
        <f t="shared" si="32"/>
        <v>0</v>
      </c>
      <c r="L177" s="209"/>
      <c r="M177" s="210"/>
      <c r="N177" s="211"/>
      <c r="O177" s="212">
        <f t="shared" si="31"/>
        <v>0</v>
      </c>
      <c r="P177" s="204"/>
      <c r="Q177" s="213"/>
      <c r="R177" s="303"/>
      <c r="S177" s="198">
        <f t="shared" si="33"/>
        <v>0</v>
      </c>
      <c r="T177" s="198">
        <f t="shared" si="34"/>
        <v>0</v>
      </c>
      <c r="U177" s="198">
        <f t="shared" si="35"/>
        <v>0</v>
      </c>
      <c r="V177" s="198">
        <f t="shared" si="36"/>
        <v>0</v>
      </c>
      <c r="W177" s="198">
        <f t="shared" si="37"/>
        <v>0</v>
      </c>
      <c r="X177" s="198">
        <f t="shared" si="38"/>
        <v>0</v>
      </c>
      <c r="Y177" s="198">
        <f t="shared" si="39"/>
        <v>0</v>
      </c>
      <c r="Z177" s="198">
        <f t="shared" si="40"/>
        <v>0</v>
      </c>
      <c r="AB177" s="360"/>
    </row>
    <row r="178" spans="1:28" s="359" customFormat="1" ht="29.25" customHeight="1">
      <c r="A178" s="201"/>
      <c r="B178" s="202">
        <f t="shared" si="43"/>
        <v>0.16666666666666666</v>
      </c>
      <c r="C178" s="202">
        <f t="shared" si="44"/>
        <v>0.20833333333333331</v>
      </c>
      <c r="D178" s="203"/>
      <c r="E178" s="204"/>
      <c r="F178" s="215"/>
      <c r="G178" s="215"/>
      <c r="H178" s="214"/>
      <c r="I178" s="207"/>
      <c r="J178" s="207"/>
      <c r="K178" s="208">
        <f t="shared" si="32"/>
        <v>0</v>
      </c>
      <c r="L178" s="209"/>
      <c r="M178" s="210"/>
      <c r="N178" s="211"/>
      <c r="O178" s="212">
        <f t="shared" si="31"/>
        <v>0</v>
      </c>
      <c r="P178" s="204"/>
      <c r="Q178" s="213"/>
      <c r="R178" s="303"/>
      <c r="S178" s="198">
        <f t="shared" si="33"/>
        <v>0</v>
      </c>
      <c r="T178" s="198">
        <f t="shared" si="34"/>
        <v>0</v>
      </c>
      <c r="U178" s="198">
        <f t="shared" si="35"/>
        <v>0</v>
      </c>
      <c r="V178" s="198">
        <f t="shared" si="36"/>
        <v>0</v>
      </c>
      <c r="W178" s="198">
        <f t="shared" si="37"/>
        <v>0</v>
      </c>
      <c r="X178" s="198">
        <f t="shared" si="38"/>
        <v>0</v>
      </c>
      <c r="Y178" s="198">
        <f t="shared" si="39"/>
        <v>0</v>
      </c>
      <c r="Z178" s="198">
        <f t="shared" si="40"/>
        <v>0</v>
      </c>
      <c r="AB178" s="360"/>
    </row>
    <row r="179" spans="1:28" s="359" customFormat="1" ht="29.25" customHeight="1">
      <c r="A179" s="201"/>
      <c r="B179" s="202">
        <f t="shared" si="43"/>
        <v>0.20833333333333331</v>
      </c>
      <c r="C179" s="202">
        <f t="shared" si="44"/>
        <v>0.24999999999999997</v>
      </c>
      <c r="D179" s="203"/>
      <c r="E179" s="204"/>
      <c r="F179" s="215"/>
      <c r="G179" s="215"/>
      <c r="H179" s="214"/>
      <c r="I179" s="207"/>
      <c r="J179" s="207"/>
      <c r="K179" s="208">
        <f t="shared" si="32"/>
        <v>0</v>
      </c>
      <c r="L179" s="209"/>
      <c r="M179" s="210"/>
      <c r="N179" s="211"/>
      <c r="O179" s="212">
        <f t="shared" si="31"/>
        <v>0</v>
      </c>
      <c r="P179" s="204"/>
      <c r="Q179" s="213"/>
      <c r="R179" s="303"/>
      <c r="S179" s="198">
        <f t="shared" si="33"/>
        <v>0</v>
      </c>
      <c r="T179" s="198">
        <f t="shared" si="34"/>
        <v>0</v>
      </c>
      <c r="U179" s="198">
        <f t="shared" si="35"/>
        <v>0</v>
      </c>
      <c r="V179" s="198">
        <f t="shared" si="36"/>
        <v>0</v>
      </c>
      <c r="W179" s="198">
        <f t="shared" si="37"/>
        <v>0</v>
      </c>
      <c r="X179" s="198">
        <f t="shared" si="38"/>
        <v>0</v>
      </c>
      <c r="Y179" s="198">
        <f t="shared" si="39"/>
        <v>0</v>
      </c>
      <c r="Z179" s="198">
        <f t="shared" si="40"/>
        <v>0</v>
      </c>
      <c r="AB179" s="360"/>
    </row>
    <row r="180" spans="1:28" s="359" customFormat="1" ht="29.25" customHeight="1">
      <c r="A180" s="201"/>
      <c r="B180" s="202">
        <f t="shared" si="43"/>
        <v>0.24999999999999997</v>
      </c>
      <c r="C180" s="202">
        <f t="shared" si="44"/>
        <v>0.29166666666666663</v>
      </c>
      <c r="D180" s="203"/>
      <c r="E180" s="216"/>
      <c r="F180" s="215"/>
      <c r="G180" s="215"/>
      <c r="H180" s="214"/>
      <c r="I180" s="207"/>
      <c r="J180" s="207"/>
      <c r="K180" s="208">
        <f t="shared" si="32"/>
        <v>0</v>
      </c>
      <c r="L180" s="209"/>
      <c r="M180" s="210"/>
      <c r="N180" s="211"/>
      <c r="O180" s="212">
        <f t="shared" si="31"/>
        <v>0</v>
      </c>
      <c r="P180" s="204"/>
      <c r="Q180" s="213"/>
      <c r="R180" s="303"/>
      <c r="S180" s="198">
        <f t="shared" si="33"/>
        <v>0</v>
      </c>
      <c r="T180" s="198">
        <f t="shared" si="34"/>
        <v>0</v>
      </c>
      <c r="U180" s="198">
        <f t="shared" si="35"/>
        <v>0</v>
      </c>
      <c r="V180" s="198">
        <f t="shared" si="36"/>
        <v>0</v>
      </c>
      <c r="W180" s="198">
        <f t="shared" si="37"/>
        <v>0</v>
      </c>
      <c r="X180" s="198">
        <f t="shared" si="38"/>
        <v>0</v>
      </c>
      <c r="Y180" s="198">
        <f t="shared" si="39"/>
        <v>0</v>
      </c>
      <c r="Z180" s="198">
        <f t="shared" si="40"/>
        <v>0</v>
      </c>
      <c r="AB180" s="360"/>
    </row>
    <row r="181" spans="1:28" s="359" customFormat="1" ht="29.25" customHeight="1">
      <c r="A181" s="201"/>
      <c r="B181" s="202">
        <f t="shared" si="43"/>
        <v>0.29166666666666663</v>
      </c>
      <c r="C181" s="202">
        <f t="shared" si="44"/>
        <v>0.33333333333333331</v>
      </c>
      <c r="D181" s="203"/>
      <c r="E181" s="216"/>
      <c r="F181" s="205"/>
      <c r="G181" s="206"/>
      <c r="H181" s="214"/>
      <c r="I181" s="207"/>
      <c r="J181" s="207"/>
      <c r="K181" s="208">
        <f t="shared" si="32"/>
        <v>0</v>
      </c>
      <c r="L181" s="209"/>
      <c r="M181" s="210"/>
      <c r="N181" s="211"/>
      <c r="O181" s="212">
        <f t="shared" si="31"/>
        <v>0</v>
      </c>
      <c r="P181" s="204"/>
      <c r="Q181" s="213"/>
      <c r="R181" s="303"/>
      <c r="S181" s="198">
        <f t="shared" si="33"/>
        <v>0</v>
      </c>
      <c r="T181" s="198">
        <f t="shared" si="34"/>
        <v>0</v>
      </c>
      <c r="U181" s="198">
        <f t="shared" si="35"/>
        <v>0</v>
      </c>
      <c r="V181" s="198">
        <f t="shared" si="36"/>
        <v>0</v>
      </c>
      <c r="W181" s="198">
        <f t="shared" si="37"/>
        <v>0</v>
      </c>
      <c r="X181" s="198">
        <f t="shared" si="38"/>
        <v>0</v>
      </c>
      <c r="Y181" s="198">
        <f t="shared" si="39"/>
        <v>0</v>
      </c>
      <c r="Z181" s="198">
        <f t="shared" si="40"/>
        <v>0</v>
      </c>
      <c r="AB181" s="360"/>
    </row>
    <row r="182" spans="1:28" s="359" customFormat="1" ht="29.25" customHeight="1">
      <c r="A182" s="201"/>
      <c r="B182" s="202">
        <f t="shared" si="43"/>
        <v>0.33333333333333331</v>
      </c>
      <c r="C182" s="202">
        <f t="shared" si="44"/>
        <v>0.375</v>
      </c>
      <c r="D182" s="203"/>
      <c r="E182" s="216"/>
      <c r="F182" s="205"/>
      <c r="G182" s="206"/>
      <c r="H182" s="214"/>
      <c r="I182" s="207"/>
      <c r="J182" s="207"/>
      <c r="K182" s="208">
        <f t="shared" si="32"/>
        <v>0</v>
      </c>
      <c r="L182" s="209"/>
      <c r="M182" s="210"/>
      <c r="N182" s="211"/>
      <c r="O182" s="212">
        <f t="shared" si="31"/>
        <v>0</v>
      </c>
      <c r="P182" s="204"/>
      <c r="Q182" s="213"/>
      <c r="R182" s="303"/>
      <c r="S182" s="198">
        <f t="shared" si="33"/>
        <v>0</v>
      </c>
      <c r="T182" s="198">
        <f t="shared" si="34"/>
        <v>0</v>
      </c>
      <c r="U182" s="198">
        <f t="shared" si="35"/>
        <v>0</v>
      </c>
      <c r="V182" s="198">
        <f t="shared" si="36"/>
        <v>0</v>
      </c>
      <c r="W182" s="198">
        <f t="shared" si="37"/>
        <v>0</v>
      </c>
      <c r="X182" s="198">
        <f t="shared" si="38"/>
        <v>0</v>
      </c>
      <c r="Y182" s="198">
        <f t="shared" si="39"/>
        <v>0</v>
      </c>
      <c r="Z182" s="198">
        <f t="shared" si="40"/>
        <v>0</v>
      </c>
      <c r="AB182" s="360"/>
    </row>
    <row r="183" spans="1:28" s="359" customFormat="1" ht="29.25" customHeight="1">
      <c r="A183" s="201"/>
      <c r="B183" s="202">
        <f t="shared" si="43"/>
        <v>0.375</v>
      </c>
      <c r="C183" s="202">
        <f t="shared" si="44"/>
        <v>0.41666666666666669</v>
      </c>
      <c r="D183" s="203"/>
      <c r="E183" s="216"/>
      <c r="F183" s="215"/>
      <c r="G183" s="215"/>
      <c r="H183" s="214"/>
      <c r="I183" s="207"/>
      <c r="J183" s="207"/>
      <c r="K183" s="208">
        <f t="shared" si="32"/>
        <v>0</v>
      </c>
      <c r="L183" s="209"/>
      <c r="M183" s="210"/>
      <c r="N183" s="211"/>
      <c r="O183" s="212">
        <f t="shared" si="31"/>
        <v>0</v>
      </c>
      <c r="P183" s="204"/>
      <c r="Q183" s="213"/>
      <c r="R183" s="303"/>
      <c r="S183" s="198">
        <f t="shared" si="33"/>
        <v>0</v>
      </c>
      <c r="T183" s="198">
        <f t="shared" si="34"/>
        <v>0</v>
      </c>
      <c r="U183" s="198">
        <f t="shared" si="35"/>
        <v>0</v>
      </c>
      <c r="V183" s="198">
        <f t="shared" si="36"/>
        <v>0</v>
      </c>
      <c r="W183" s="198">
        <f t="shared" si="37"/>
        <v>0</v>
      </c>
      <c r="X183" s="198">
        <f t="shared" si="38"/>
        <v>0</v>
      </c>
      <c r="Y183" s="198">
        <f t="shared" si="39"/>
        <v>0</v>
      </c>
      <c r="Z183" s="198">
        <f t="shared" si="40"/>
        <v>0</v>
      </c>
      <c r="AB183" s="360"/>
    </row>
    <row r="184" spans="1:28" s="359" customFormat="1" ht="29.25" customHeight="1" thickBot="1">
      <c r="A184" s="218"/>
      <c r="B184" s="219">
        <f t="shared" si="43"/>
        <v>0.41666666666666669</v>
      </c>
      <c r="C184" s="219">
        <f t="shared" si="44"/>
        <v>0.45833333333333337</v>
      </c>
      <c r="D184" s="230"/>
      <c r="E184" s="221"/>
      <c r="F184" s="222"/>
      <c r="G184" s="222"/>
      <c r="H184" s="231"/>
      <c r="I184" s="223"/>
      <c r="J184" s="223"/>
      <c r="K184" s="224">
        <f t="shared" si="32"/>
        <v>0</v>
      </c>
      <c r="L184" s="225"/>
      <c r="M184" s="226"/>
      <c r="N184" s="227"/>
      <c r="O184" s="286">
        <f t="shared" si="31"/>
        <v>0</v>
      </c>
      <c r="P184" s="228"/>
      <c r="Q184" s="229"/>
      <c r="R184" s="303"/>
      <c r="S184" s="198">
        <f t="shared" si="33"/>
        <v>0</v>
      </c>
      <c r="T184" s="198">
        <f t="shared" si="34"/>
        <v>0</v>
      </c>
      <c r="U184" s="198">
        <f t="shared" si="35"/>
        <v>0</v>
      </c>
      <c r="V184" s="198">
        <f t="shared" si="36"/>
        <v>0</v>
      </c>
      <c r="W184" s="198">
        <f t="shared" si="37"/>
        <v>0</v>
      </c>
      <c r="X184" s="198">
        <f t="shared" si="38"/>
        <v>0</v>
      </c>
      <c r="Y184" s="198">
        <f t="shared" si="39"/>
        <v>0</v>
      </c>
      <c r="Z184" s="198">
        <f t="shared" si="40"/>
        <v>0</v>
      </c>
      <c r="AB184" s="360"/>
    </row>
    <row r="185" spans="1:28" s="359" customFormat="1" ht="29.25" customHeight="1">
      <c r="A185" s="184">
        <f>A154</f>
        <v>0</v>
      </c>
      <c r="B185" s="185">
        <f>B140</f>
        <v>0</v>
      </c>
      <c r="C185" s="185">
        <f>B185+1/24</f>
        <v>4.1666666666666664E-2</v>
      </c>
      <c r="D185" s="186"/>
      <c r="E185" s="187"/>
      <c r="F185" s="188"/>
      <c r="G185" s="189"/>
      <c r="H185" s="190"/>
      <c r="I185" s="191"/>
      <c r="J185" s="191"/>
      <c r="K185" s="192">
        <f t="shared" si="32"/>
        <v>0</v>
      </c>
      <c r="L185" s="193"/>
      <c r="M185" s="194"/>
      <c r="N185" s="195"/>
      <c r="O185" s="196">
        <f t="shared" si="31"/>
        <v>0</v>
      </c>
      <c r="P185" s="187"/>
      <c r="Q185" s="197"/>
      <c r="R185" s="303"/>
      <c r="S185" s="198">
        <f t="shared" si="33"/>
        <v>0</v>
      </c>
      <c r="T185" s="198">
        <f t="shared" si="34"/>
        <v>0</v>
      </c>
      <c r="U185" s="198">
        <f t="shared" si="35"/>
        <v>0</v>
      </c>
      <c r="V185" s="198">
        <f t="shared" si="36"/>
        <v>0</v>
      </c>
      <c r="W185" s="198">
        <f t="shared" si="37"/>
        <v>0</v>
      </c>
      <c r="X185" s="198">
        <f t="shared" si="38"/>
        <v>0</v>
      </c>
      <c r="Y185" s="198">
        <f t="shared" si="39"/>
        <v>0</v>
      </c>
      <c r="Z185" s="198">
        <f t="shared" si="40"/>
        <v>0</v>
      </c>
      <c r="AB185" s="360"/>
    </row>
    <row r="186" spans="1:28" s="359" customFormat="1" ht="29.25" customHeight="1">
      <c r="A186" s="201"/>
      <c r="B186" s="202">
        <f>C185</f>
        <v>4.1666666666666664E-2</v>
      </c>
      <c r="C186" s="202">
        <f>B186+1/24</f>
        <v>8.3333333333333329E-2</v>
      </c>
      <c r="D186" s="203"/>
      <c r="E186" s="204"/>
      <c r="F186" s="215"/>
      <c r="G186" s="215"/>
      <c r="H186" s="214"/>
      <c r="I186" s="207"/>
      <c r="J186" s="207"/>
      <c r="K186" s="208">
        <f t="shared" si="32"/>
        <v>0</v>
      </c>
      <c r="L186" s="209"/>
      <c r="M186" s="210"/>
      <c r="N186" s="211"/>
      <c r="O186" s="212">
        <f t="shared" si="31"/>
        <v>0</v>
      </c>
      <c r="P186" s="204"/>
      <c r="Q186" s="213"/>
      <c r="R186" s="303"/>
      <c r="S186" s="198">
        <f t="shared" si="33"/>
        <v>0</v>
      </c>
      <c r="T186" s="198">
        <f t="shared" si="34"/>
        <v>0</v>
      </c>
      <c r="U186" s="198">
        <f t="shared" si="35"/>
        <v>0</v>
      </c>
      <c r="V186" s="198">
        <f t="shared" si="36"/>
        <v>0</v>
      </c>
      <c r="W186" s="198">
        <f t="shared" si="37"/>
        <v>0</v>
      </c>
      <c r="X186" s="198">
        <f t="shared" si="38"/>
        <v>0</v>
      </c>
      <c r="Y186" s="198">
        <f t="shared" si="39"/>
        <v>0</v>
      </c>
      <c r="Z186" s="198">
        <f t="shared" si="40"/>
        <v>0</v>
      </c>
      <c r="AB186" s="360"/>
    </row>
    <row r="187" spans="1:28" s="359" customFormat="1" ht="29.25" customHeight="1">
      <c r="A187" s="201"/>
      <c r="B187" s="202">
        <f t="shared" ref="B187:B195" si="45">C186</f>
        <v>8.3333333333333329E-2</v>
      </c>
      <c r="C187" s="202">
        <f t="shared" ref="C187:C195" si="46">B187+1/24</f>
        <v>0.125</v>
      </c>
      <c r="D187" s="203"/>
      <c r="E187" s="204"/>
      <c r="F187" s="215"/>
      <c r="G187" s="215"/>
      <c r="H187" s="214"/>
      <c r="I187" s="207"/>
      <c r="J187" s="207"/>
      <c r="K187" s="208">
        <f t="shared" si="32"/>
        <v>0</v>
      </c>
      <c r="L187" s="209"/>
      <c r="M187" s="210"/>
      <c r="N187" s="211"/>
      <c r="O187" s="212">
        <f t="shared" si="31"/>
        <v>0</v>
      </c>
      <c r="P187" s="204"/>
      <c r="Q187" s="213"/>
      <c r="R187" s="303"/>
      <c r="S187" s="198">
        <f t="shared" si="33"/>
        <v>0</v>
      </c>
      <c r="T187" s="198">
        <f t="shared" si="34"/>
        <v>0</v>
      </c>
      <c r="U187" s="198">
        <f t="shared" si="35"/>
        <v>0</v>
      </c>
      <c r="V187" s="198">
        <f t="shared" si="36"/>
        <v>0</v>
      </c>
      <c r="W187" s="198">
        <f t="shared" si="37"/>
        <v>0</v>
      </c>
      <c r="X187" s="198">
        <f t="shared" si="38"/>
        <v>0</v>
      </c>
      <c r="Y187" s="198">
        <f t="shared" si="39"/>
        <v>0</v>
      </c>
      <c r="Z187" s="198">
        <f t="shared" si="40"/>
        <v>0</v>
      </c>
      <c r="AB187" s="360"/>
    </row>
    <row r="188" spans="1:28" s="359" customFormat="1" ht="29.25" customHeight="1">
      <c r="A188" s="201"/>
      <c r="B188" s="202">
        <f t="shared" si="45"/>
        <v>0.125</v>
      </c>
      <c r="C188" s="202">
        <f t="shared" si="46"/>
        <v>0.16666666666666666</v>
      </c>
      <c r="D188" s="203"/>
      <c r="E188" s="204"/>
      <c r="F188" s="215"/>
      <c r="G188" s="215"/>
      <c r="H188" s="214"/>
      <c r="I188" s="207"/>
      <c r="J188" s="207"/>
      <c r="K188" s="208">
        <f t="shared" si="32"/>
        <v>0</v>
      </c>
      <c r="L188" s="209"/>
      <c r="M188" s="210"/>
      <c r="N188" s="211"/>
      <c r="O188" s="212">
        <f t="shared" si="31"/>
        <v>0</v>
      </c>
      <c r="P188" s="204"/>
      <c r="Q188" s="213"/>
      <c r="R188" s="303"/>
      <c r="S188" s="198">
        <f t="shared" si="33"/>
        <v>0</v>
      </c>
      <c r="T188" s="198">
        <f t="shared" si="34"/>
        <v>0</v>
      </c>
      <c r="U188" s="198">
        <f t="shared" si="35"/>
        <v>0</v>
      </c>
      <c r="V188" s="198">
        <f t="shared" si="36"/>
        <v>0</v>
      </c>
      <c r="W188" s="198">
        <f t="shared" si="37"/>
        <v>0</v>
      </c>
      <c r="X188" s="198">
        <f t="shared" si="38"/>
        <v>0</v>
      </c>
      <c r="Y188" s="198">
        <f t="shared" si="39"/>
        <v>0</v>
      </c>
      <c r="Z188" s="198">
        <f t="shared" si="40"/>
        <v>0</v>
      </c>
      <c r="AB188" s="360"/>
    </row>
    <row r="189" spans="1:28" s="359" customFormat="1" ht="29.25" customHeight="1">
      <c r="A189" s="201"/>
      <c r="B189" s="202">
        <f t="shared" si="45"/>
        <v>0.16666666666666666</v>
      </c>
      <c r="C189" s="202">
        <f t="shared" si="46"/>
        <v>0.20833333333333331</v>
      </c>
      <c r="D189" s="203"/>
      <c r="E189" s="204"/>
      <c r="F189" s="215"/>
      <c r="G189" s="215"/>
      <c r="H189" s="214"/>
      <c r="I189" s="207"/>
      <c r="J189" s="207"/>
      <c r="K189" s="208">
        <f t="shared" si="32"/>
        <v>0</v>
      </c>
      <c r="L189" s="209"/>
      <c r="M189" s="210"/>
      <c r="N189" s="211"/>
      <c r="O189" s="212">
        <f t="shared" si="31"/>
        <v>0</v>
      </c>
      <c r="P189" s="204"/>
      <c r="Q189" s="213"/>
      <c r="R189" s="303"/>
      <c r="S189" s="198">
        <f t="shared" si="33"/>
        <v>0</v>
      </c>
      <c r="T189" s="198">
        <f t="shared" si="34"/>
        <v>0</v>
      </c>
      <c r="U189" s="198">
        <f t="shared" si="35"/>
        <v>0</v>
      </c>
      <c r="V189" s="198">
        <f t="shared" si="36"/>
        <v>0</v>
      </c>
      <c r="W189" s="198">
        <f t="shared" si="37"/>
        <v>0</v>
      </c>
      <c r="X189" s="198">
        <f t="shared" si="38"/>
        <v>0</v>
      </c>
      <c r="Y189" s="198">
        <f t="shared" si="39"/>
        <v>0</v>
      </c>
      <c r="Z189" s="198">
        <f t="shared" si="40"/>
        <v>0</v>
      </c>
      <c r="AB189" s="360"/>
    </row>
    <row r="190" spans="1:28" s="359" customFormat="1" ht="29.25" customHeight="1">
      <c r="A190" s="201"/>
      <c r="B190" s="202">
        <f t="shared" si="45"/>
        <v>0.20833333333333331</v>
      </c>
      <c r="C190" s="202">
        <f t="shared" si="46"/>
        <v>0.24999999999999997</v>
      </c>
      <c r="D190" s="203"/>
      <c r="E190" s="204"/>
      <c r="F190" s="215"/>
      <c r="G190" s="215"/>
      <c r="H190" s="214"/>
      <c r="I190" s="207"/>
      <c r="J190" s="207"/>
      <c r="K190" s="208">
        <f t="shared" si="32"/>
        <v>0</v>
      </c>
      <c r="L190" s="209"/>
      <c r="M190" s="210"/>
      <c r="N190" s="211"/>
      <c r="O190" s="212">
        <f t="shared" si="31"/>
        <v>0</v>
      </c>
      <c r="P190" s="204"/>
      <c r="Q190" s="213"/>
      <c r="R190" s="303"/>
      <c r="S190" s="198">
        <f t="shared" si="33"/>
        <v>0</v>
      </c>
      <c r="T190" s="198">
        <f t="shared" si="34"/>
        <v>0</v>
      </c>
      <c r="U190" s="198">
        <f t="shared" si="35"/>
        <v>0</v>
      </c>
      <c r="V190" s="198">
        <f t="shared" si="36"/>
        <v>0</v>
      </c>
      <c r="W190" s="198">
        <f t="shared" si="37"/>
        <v>0</v>
      </c>
      <c r="X190" s="198">
        <f t="shared" si="38"/>
        <v>0</v>
      </c>
      <c r="Y190" s="198">
        <f t="shared" si="39"/>
        <v>0</v>
      </c>
      <c r="Z190" s="198">
        <f t="shared" si="40"/>
        <v>0</v>
      </c>
      <c r="AB190" s="360"/>
    </row>
    <row r="191" spans="1:28" s="359" customFormat="1" ht="29.25" customHeight="1">
      <c r="A191" s="201"/>
      <c r="B191" s="202">
        <f t="shared" si="45"/>
        <v>0.24999999999999997</v>
      </c>
      <c r="C191" s="202">
        <f t="shared" si="46"/>
        <v>0.29166666666666663</v>
      </c>
      <c r="D191" s="203"/>
      <c r="E191" s="216"/>
      <c r="F191" s="215"/>
      <c r="G191" s="215"/>
      <c r="H191" s="214"/>
      <c r="I191" s="207"/>
      <c r="J191" s="207"/>
      <c r="K191" s="208">
        <f t="shared" si="32"/>
        <v>0</v>
      </c>
      <c r="L191" s="209"/>
      <c r="M191" s="210"/>
      <c r="N191" s="211"/>
      <c r="O191" s="212">
        <f t="shared" si="31"/>
        <v>0</v>
      </c>
      <c r="P191" s="204"/>
      <c r="Q191" s="213"/>
      <c r="R191" s="303"/>
      <c r="S191" s="198">
        <f t="shared" si="33"/>
        <v>0</v>
      </c>
      <c r="T191" s="198">
        <f t="shared" si="34"/>
        <v>0</v>
      </c>
      <c r="U191" s="198">
        <f t="shared" si="35"/>
        <v>0</v>
      </c>
      <c r="V191" s="198">
        <f t="shared" si="36"/>
        <v>0</v>
      </c>
      <c r="W191" s="198">
        <f t="shared" si="37"/>
        <v>0</v>
      </c>
      <c r="X191" s="198">
        <f t="shared" si="38"/>
        <v>0</v>
      </c>
      <c r="Y191" s="198">
        <f t="shared" si="39"/>
        <v>0</v>
      </c>
      <c r="Z191" s="198">
        <f t="shared" si="40"/>
        <v>0</v>
      </c>
      <c r="AB191" s="360"/>
    </row>
    <row r="192" spans="1:28" s="359" customFormat="1" ht="29.25" customHeight="1">
      <c r="A192" s="201"/>
      <c r="B192" s="202">
        <f t="shared" si="45"/>
        <v>0.29166666666666663</v>
      </c>
      <c r="C192" s="202">
        <f t="shared" si="46"/>
        <v>0.33333333333333331</v>
      </c>
      <c r="D192" s="203"/>
      <c r="E192" s="216"/>
      <c r="F192" s="205"/>
      <c r="G192" s="206"/>
      <c r="H192" s="214"/>
      <c r="I192" s="207"/>
      <c r="J192" s="207"/>
      <c r="K192" s="208">
        <f t="shared" si="32"/>
        <v>0</v>
      </c>
      <c r="L192" s="209"/>
      <c r="M192" s="210"/>
      <c r="N192" s="211"/>
      <c r="O192" s="212">
        <f t="shared" si="31"/>
        <v>0</v>
      </c>
      <c r="P192" s="204"/>
      <c r="Q192" s="213"/>
      <c r="R192" s="303"/>
      <c r="S192" s="198">
        <f t="shared" si="33"/>
        <v>0</v>
      </c>
      <c r="T192" s="198">
        <f t="shared" si="34"/>
        <v>0</v>
      </c>
      <c r="U192" s="198">
        <f t="shared" si="35"/>
        <v>0</v>
      </c>
      <c r="V192" s="198">
        <f t="shared" si="36"/>
        <v>0</v>
      </c>
      <c r="W192" s="198">
        <f t="shared" si="37"/>
        <v>0</v>
      </c>
      <c r="X192" s="198">
        <f t="shared" si="38"/>
        <v>0</v>
      </c>
      <c r="Y192" s="198">
        <f t="shared" si="39"/>
        <v>0</v>
      </c>
      <c r="Z192" s="198">
        <f t="shared" si="40"/>
        <v>0</v>
      </c>
      <c r="AB192" s="360"/>
    </row>
    <row r="193" spans="1:28" s="359" customFormat="1" ht="29.25" customHeight="1">
      <c r="A193" s="201"/>
      <c r="B193" s="202">
        <f t="shared" si="45"/>
        <v>0.33333333333333331</v>
      </c>
      <c r="C193" s="202">
        <f t="shared" si="46"/>
        <v>0.375</v>
      </c>
      <c r="D193" s="203"/>
      <c r="E193" s="216"/>
      <c r="F193" s="205"/>
      <c r="G193" s="206"/>
      <c r="H193" s="214"/>
      <c r="I193" s="207"/>
      <c r="J193" s="207"/>
      <c r="K193" s="208">
        <f t="shared" si="32"/>
        <v>0</v>
      </c>
      <c r="L193" s="209"/>
      <c r="M193" s="210"/>
      <c r="N193" s="211"/>
      <c r="O193" s="212">
        <f t="shared" si="31"/>
        <v>0</v>
      </c>
      <c r="P193" s="204"/>
      <c r="Q193" s="213"/>
      <c r="R193" s="303"/>
      <c r="S193" s="198">
        <f t="shared" si="33"/>
        <v>0</v>
      </c>
      <c r="T193" s="198">
        <f t="shared" si="34"/>
        <v>0</v>
      </c>
      <c r="U193" s="198">
        <f t="shared" si="35"/>
        <v>0</v>
      </c>
      <c r="V193" s="198">
        <f t="shared" si="36"/>
        <v>0</v>
      </c>
      <c r="W193" s="198">
        <f t="shared" si="37"/>
        <v>0</v>
      </c>
      <c r="X193" s="198">
        <f t="shared" si="38"/>
        <v>0</v>
      </c>
      <c r="Y193" s="198">
        <f t="shared" si="39"/>
        <v>0</v>
      </c>
      <c r="Z193" s="198">
        <f t="shared" si="40"/>
        <v>0</v>
      </c>
      <c r="AB193" s="360"/>
    </row>
    <row r="194" spans="1:28" ht="29.25" customHeight="1">
      <c r="A194" s="201"/>
      <c r="B194" s="202">
        <f t="shared" si="45"/>
        <v>0.375</v>
      </c>
      <c r="C194" s="202">
        <f t="shared" si="46"/>
        <v>0.41666666666666669</v>
      </c>
      <c r="D194" s="203"/>
      <c r="E194" s="216"/>
      <c r="F194" s="215"/>
      <c r="G194" s="215"/>
      <c r="H194" s="214"/>
      <c r="I194" s="207"/>
      <c r="J194" s="207"/>
      <c r="K194" s="208">
        <f t="shared" si="32"/>
        <v>0</v>
      </c>
      <c r="L194" s="209"/>
      <c r="M194" s="210"/>
      <c r="N194" s="211"/>
      <c r="O194" s="212">
        <f t="shared" si="31"/>
        <v>0</v>
      </c>
      <c r="P194" s="204"/>
      <c r="Q194" s="213"/>
      <c r="S194" s="198">
        <f t="shared" si="33"/>
        <v>0</v>
      </c>
      <c r="T194" s="198">
        <f t="shared" si="34"/>
        <v>0</v>
      </c>
      <c r="U194" s="198">
        <f t="shared" si="35"/>
        <v>0</v>
      </c>
      <c r="V194" s="198">
        <f t="shared" si="36"/>
        <v>0</v>
      </c>
      <c r="W194" s="198">
        <f t="shared" si="37"/>
        <v>0</v>
      </c>
      <c r="X194" s="198">
        <f t="shared" si="38"/>
        <v>0</v>
      </c>
      <c r="Y194" s="198">
        <f t="shared" si="39"/>
        <v>0</v>
      </c>
      <c r="Z194" s="198">
        <f t="shared" si="40"/>
        <v>0</v>
      </c>
      <c r="AB194" s="360"/>
    </row>
    <row r="195" spans="1:28" ht="29.25" customHeight="1" thickBot="1">
      <c r="A195" s="218"/>
      <c r="B195" s="219">
        <f t="shared" si="45"/>
        <v>0.41666666666666669</v>
      </c>
      <c r="C195" s="219">
        <f t="shared" si="46"/>
        <v>0.45833333333333337</v>
      </c>
      <c r="D195" s="230"/>
      <c r="E195" s="221"/>
      <c r="F195" s="222"/>
      <c r="G195" s="222"/>
      <c r="H195" s="231"/>
      <c r="I195" s="223"/>
      <c r="J195" s="223"/>
      <c r="K195" s="224">
        <f t="shared" si="32"/>
        <v>0</v>
      </c>
      <c r="L195" s="225"/>
      <c r="M195" s="226"/>
      <c r="N195" s="227"/>
      <c r="O195" s="286">
        <f t="shared" si="31"/>
        <v>0</v>
      </c>
      <c r="P195" s="228"/>
      <c r="Q195" s="229"/>
      <c r="S195" s="198">
        <f t="shared" si="33"/>
        <v>0</v>
      </c>
      <c r="T195" s="198">
        <f t="shared" si="34"/>
        <v>0</v>
      </c>
      <c r="U195" s="198">
        <f t="shared" si="35"/>
        <v>0</v>
      </c>
      <c r="V195" s="198">
        <f t="shared" si="36"/>
        <v>0</v>
      </c>
      <c r="W195" s="198">
        <f t="shared" si="37"/>
        <v>0</v>
      </c>
      <c r="X195" s="198">
        <f t="shared" si="38"/>
        <v>0</v>
      </c>
      <c r="Y195" s="198">
        <f t="shared" si="39"/>
        <v>0</v>
      </c>
      <c r="Z195" s="198">
        <f t="shared" si="40"/>
        <v>0</v>
      </c>
      <c r="AB195" s="360"/>
    </row>
    <row r="196" spans="1:28" ht="29.25" customHeight="1">
      <c r="A196" s="184">
        <f>A155</f>
        <v>0</v>
      </c>
      <c r="B196" s="185">
        <f>B142</f>
        <v>0</v>
      </c>
      <c r="C196" s="185">
        <f>B196+1/24</f>
        <v>4.1666666666666664E-2</v>
      </c>
      <c r="D196" s="186"/>
      <c r="E196" s="187"/>
      <c r="F196" s="188"/>
      <c r="G196" s="189"/>
      <c r="H196" s="190"/>
      <c r="I196" s="191"/>
      <c r="J196" s="191"/>
      <c r="K196" s="192">
        <f t="shared" si="32"/>
        <v>0</v>
      </c>
      <c r="L196" s="193"/>
      <c r="M196" s="194"/>
      <c r="N196" s="195"/>
      <c r="O196" s="196">
        <f t="shared" si="31"/>
        <v>0</v>
      </c>
      <c r="P196" s="187"/>
      <c r="Q196" s="197"/>
      <c r="S196" s="198">
        <f t="shared" si="33"/>
        <v>0</v>
      </c>
      <c r="T196" s="198">
        <f t="shared" si="34"/>
        <v>0</v>
      </c>
      <c r="U196" s="198">
        <f t="shared" si="35"/>
        <v>0</v>
      </c>
      <c r="V196" s="198">
        <f t="shared" si="36"/>
        <v>0</v>
      </c>
      <c r="W196" s="198">
        <f t="shared" si="37"/>
        <v>0</v>
      </c>
      <c r="X196" s="198">
        <f t="shared" si="38"/>
        <v>0</v>
      </c>
      <c r="Y196" s="198">
        <f t="shared" si="39"/>
        <v>0</v>
      </c>
      <c r="Z196" s="198">
        <f t="shared" si="40"/>
        <v>0</v>
      </c>
      <c r="AB196" s="360"/>
    </row>
    <row r="197" spans="1:28" ht="29.25" customHeight="1">
      <c r="A197" s="201"/>
      <c r="B197" s="202">
        <f>C196</f>
        <v>4.1666666666666664E-2</v>
      </c>
      <c r="C197" s="202">
        <f>B197+1/24</f>
        <v>8.3333333333333329E-2</v>
      </c>
      <c r="D197" s="203"/>
      <c r="E197" s="204"/>
      <c r="F197" s="215"/>
      <c r="G197" s="215"/>
      <c r="H197" s="214"/>
      <c r="I197" s="207"/>
      <c r="J197" s="207"/>
      <c r="K197" s="208">
        <f t="shared" si="32"/>
        <v>0</v>
      </c>
      <c r="L197" s="209"/>
      <c r="M197" s="210"/>
      <c r="N197" s="211"/>
      <c r="O197" s="212">
        <f t="shared" si="31"/>
        <v>0</v>
      </c>
      <c r="P197" s="204"/>
      <c r="Q197" s="213"/>
      <c r="S197" s="198">
        <f t="shared" si="33"/>
        <v>0</v>
      </c>
      <c r="T197" s="198">
        <f t="shared" si="34"/>
        <v>0</v>
      </c>
      <c r="U197" s="198">
        <f t="shared" si="35"/>
        <v>0</v>
      </c>
      <c r="V197" s="198">
        <f t="shared" si="36"/>
        <v>0</v>
      </c>
      <c r="W197" s="198">
        <f t="shared" si="37"/>
        <v>0</v>
      </c>
      <c r="X197" s="198">
        <f t="shared" si="38"/>
        <v>0</v>
      </c>
      <c r="Y197" s="198">
        <f t="shared" si="39"/>
        <v>0</v>
      </c>
      <c r="Z197" s="198">
        <f t="shared" si="40"/>
        <v>0</v>
      </c>
      <c r="AB197" s="360"/>
    </row>
    <row r="198" spans="1:28" ht="29.25" customHeight="1">
      <c r="A198" s="201"/>
      <c r="B198" s="202">
        <f t="shared" ref="B198:B206" si="47">C197</f>
        <v>8.3333333333333329E-2</v>
      </c>
      <c r="C198" s="202">
        <f t="shared" ref="C198:C206" si="48">B198+1/24</f>
        <v>0.125</v>
      </c>
      <c r="D198" s="203"/>
      <c r="E198" s="204"/>
      <c r="F198" s="215"/>
      <c r="G198" s="215"/>
      <c r="H198" s="214"/>
      <c r="I198" s="207"/>
      <c r="J198" s="207"/>
      <c r="K198" s="208">
        <f t="shared" si="32"/>
        <v>0</v>
      </c>
      <c r="L198" s="209"/>
      <c r="M198" s="210"/>
      <c r="N198" s="211"/>
      <c r="O198" s="212">
        <f t="shared" si="31"/>
        <v>0</v>
      </c>
      <c r="P198" s="204"/>
      <c r="Q198" s="213"/>
      <c r="S198" s="198">
        <f t="shared" si="33"/>
        <v>0</v>
      </c>
      <c r="T198" s="198">
        <f t="shared" si="34"/>
        <v>0</v>
      </c>
      <c r="U198" s="198">
        <f t="shared" si="35"/>
        <v>0</v>
      </c>
      <c r="V198" s="198">
        <f t="shared" si="36"/>
        <v>0</v>
      </c>
      <c r="W198" s="198">
        <f t="shared" si="37"/>
        <v>0</v>
      </c>
      <c r="X198" s="198">
        <f t="shared" si="38"/>
        <v>0</v>
      </c>
      <c r="Y198" s="198">
        <f t="shared" si="39"/>
        <v>0</v>
      </c>
      <c r="Z198" s="198">
        <f t="shared" si="40"/>
        <v>0</v>
      </c>
      <c r="AB198" s="360"/>
    </row>
    <row r="199" spans="1:28" ht="29.25" customHeight="1">
      <c r="A199" s="201"/>
      <c r="B199" s="202">
        <f t="shared" si="47"/>
        <v>0.125</v>
      </c>
      <c r="C199" s="202">
        <f t="shared" si="48"/>
        <v>0.16666666666666666</v>
      </c>
      <c r="D199" s="203"/>
      <c r="E199" s="204"/>
      <c r="F199" s="215"/>
      <c r="G199" s="215"/>
      <c r="H199" s="214"/>
      <c r="I199" s="207"/>
      <c r="J199" s="207"/>
      <c r="K199" s="208">
        <f t="shared" si="32"/>
        <v>0</v>
      </c>
      <c r="L199" s="209"/>
      <c r="M199" s="210"/>
      <c r="N199" s="211"/>
      <c r="O199" s="212">
        <f t="shared" si="31"/>
        <v>0</v>
      </c>
      <c r="P199" s="204"/>
      <c r="Q199" s="213"/>
      <c r="S199" s="198">
        <f t="shared" si="33"/>
        <v>0</v>
      </c>
      <c r="T199" s="198">
        <f t="shared" si="34"/>
        <v>0</v>
      </c>
      <c r="U199" s="198">
        <f t="shared" si="35"/>
        <v>0</v>
      </c>
      <c r="V199" s="198">
        <f t="shared" si="36"/>
        <v>0</v>
      </c>
      <c r="W199" s="198">
        <f t="shared" si="37"/>
        <v>0</v>
      </c>
      <c r="X199" s="198">
        <f t="shared" si="38"/>
        <v>0</v>
      </c>
      <c r="Y199" s="198">
        <f t="shared" si="39"/>
        <v>0</v>
      </c>
      <c r="Z199" s="198">
        <f t="shared" si="40"/>
        <v>0</v>
      </c>
      <c r="AB199" s="360"/>
    </row>
    <row r="200" spans="1:28" ht="29.25" customHeight="1">
      <c r="A200" s="201"/>
      <c r="B200" s="202">
        <f t="shared" si="47"/>
        <v>0.16666666666666666</v>
      </c>
      <c r="C200" s="202">
        <f t="shared" si="48"/>
        <v>0.20833333333333331</v>
      </c>
      <c r="D200" s="203"/>
      <c r="E200" s="204"/>
      <c r="F200" s="215"/>
      <c r="G200" s="215"/>
      <c r="H200" s="214"/>
      <c r="I200" s="207"/>
      <c r="J200" s="207"/>
      <c r="K200" s="208">
        <f t="shared" si="32"/>
        <v>0</v>
      </c>
      <c r="L200" s="209"/>
      <c r="M200" s="210"/>
      <c r="N200" s="211"/>
      <c r="O200" s="212">
        <f t="shared" si="31"/>
        <v>0</v>
      </c>
      <c r="P200" s="204"/>
      <c r="Q200" s="213"/>
      <c r="S200" s="198">
        <f t="shared" si="33"/>
        <v>0</v>
      </c>
      <c r="T200" s="198">
        <f t="shared" si="34"/>
        <v>0</v>
      </c>
      <c r="U200" s="198">
        <f t="shared" si="35"/>
        <v>0</v>
      </c>
      <c r="V200" s="198">
        <f t="shared" si="36"/>
        <v>0</v>
      </c>
      <c r="W200" s="198">
        <f t="shared" si="37"/>
        <v>0</v>
      </c>
      <c r="X200" s="198">
        <f t="shared" si="38"/>
        <v>0</v>
      </c>
      <c r="Y200" s="198">
        <f t="shared" si="39"/>
        <v>0</v>
      </c>
      <c r="Z200" s="198">
        <f t="shared" si="40"/>
        <v>0</v>
      </c>
      <c r="AB200" s="360"/>
    </row>
    <row r="201" spans="1:28" ht="29.25" customHeight="1">
      <c r="A201" s="201"/>
      <c r="B201" s="202">
        <f t="shared" si="47"/>
        <v>0.20833333333333331</v>
      </c>
      <c r="C201" s="202">
        <f t="shared" si="48"/>
        <v>0.24999999999999997</v>
      </c>
      <c r="D201" s="203"/>
      <c r="E201" s="204"/>
      <c r="F201" s="215"/>
      <c r="G201" s="215"/>
      <c r="H201" s="214"/>
      <c r="I201" s="207"/>
      <c r="J201" s="207"/>
      <c r="K201" s="208">
        <f t="shared" si="32"/>
        <v>0</v>
      </c>
      <c r="L201" s="209"/>
      <c r="M201" s="210"/>
      <c r="N201" s="211"/>
      <c r="O201" s="212">
        <f t="shared" si="31"/>
        <v>0</v>
      </c>
      <c r="P201" s="204"/>
      <c r="Q201" s="213"/>
      <c r="S201" s="198">
        <f t="shared" si="33"/>
        <v>0</v>
      </c>
      <c r="T201" s="198">
        <f t="shared" si="34"/>
        <v>0</v>
      </c>
      <c r="U201" s="198">
        <f t="shared" si="35"/>
        <v>0</v>
      </c>
      <c r="V201" s="198">
        <f t="shared" si="36"/>
        <v>0</v>
      </c>
      <c r="W201" s="198">
        <f t="shared" si="37"/>
        <v>0</v>
      </c>
      <c r="X201" s="198">
        <f t="shared" si="38"/>
        <v>0</v>
      </c>
      <c r="Y201" s="198">
        <f t="shared" si="39"/>
        <v>0</v>
      </c>
      <c r="Z201" s="198">
        <f t="shared" si="40"/>
        <v>0</v>
      </c>
      <c r="AB201" s="360"/>
    </row>
    <row r="202" spans="1:28" ht="29.25" customHeight="1">
      <c r="A202" s="201"/>
      <c r="B202" s="202">
        <f t="shared" si="47"/>
        <v>0.24999999999999997</v>
      </c>
      <c r="C202" s="202">
        <f t="shared" si="48"/>
        <v>0.29166666666666663</v>
      </c>
      <c r="D202" s="203"/>
      <c r="E202" s="216"/>
      <c r="F202" s="215"/>
      <c r="G202" s="215"/>
      <c r="H202" s="214"/>
      <c r="I202" s="207"/>
      <c r="J202" s="207"/>
      <c r="K202" s="208">
        <f t="shared" si="32"/>
        <v>0</v>
      </c>
      <c r="L202" s="209"/>
      <c r="M202" s="210"/>
      <c r="N202" s="211"/>
      <c r="O202" s="212">
        <f t="shared" si="31"/>
        <v>0</v>
      </c>
      <c r="P202" s="204"/>
      <c r="Q202" s="213"/>
      <c r="S202" s="198">
        <f t="shared" si="33"/>
        <v>0</v>
      </c>
      <c r="T202" s="198">
        <f t="shared" si="34"/>
        <v>0</v>
      </c>
      <c r="U202" s="198">
        <f t="shared" si="35"/>
        <v>0</v>
      </c>
      <c r="V202" s="198">
        <f t="shared" si="36"/>
        <v>0</v>
      </c>
      <c r="W202" s="198">
        <f t="shared" si="37"/>
        <v>0</v>
      </c>
      <c r="X202" s="198">
        <f t="shared" si="38"/>
        <v>0</v>
      </c>
      <c r="Y202" s="198">
        <f t="shared" si="39"/>
        <v>0</v>
      </c>
      <c r="Z202" s="198">
        <f t="shared" si="40"/>
        <v>0</v>
      </c>
      <c r="AB202" s="360"/>
    </row>
    <row r="203" spans="1:28" ht="29.25" customHeight="1">
      <c r="A203" s="201"/>
      <c r="B203" s="202">
        <f t="shared" si="47"/>
        <v>0.29166666666666663</v>
      </c>
      <c r="C203" s="202">
        <f t="shared" si="48"/>
        <v>0.33333333333333331</v>
      </c>
      <c r="D203" s="203"/>
      <c r="E203" s="216"/>
      <c r="F203" s="205"/>
      <c r="G203" s="206"/>
      <c r="H203" s="214"/>
      <c r="I203" s="207"/>
      <c r="J203" s="207"/>
      <c r="K203" s="208">
        <f t="shared" si="32"/>
        <v>0</v>
      </c>
      <c r="L203" s="209"/>
      <c r="M203" s="210"/>
      <c r="N203" s="211"/>
      <c r="O203" s="212">
        <f t="shared" si="31"/>
        <v>0</v>
      </c>
      <c r="P203" s="204"/>
      <c r="Q203" s="213"/>
      <c r="S203" s="198">
        <f t="shared" si="33"/>
        <v>0</v>
      </c>
      <c r="T203" s="198">
        <f t="shared" si="34"/>
        <v>0</v>
      </c>
      <c r="U203" s="198">
        <f t="shared" si="35"/>
        <v>0</v>
      </c>
      <c r="V203" s="198">
        <f t="shared" si="36"/>
        <v>0</v>
      </c>
      <c r="W203" s="198">
        <f t="shared" si="37"/>
        <v>0</v>
      </c>
      <c r="X203" s="198">
        <f t="shared" si="38"/>
        <v>0</v>
      </c>
      <c r="Y203" s="198">
        <f t="shared" si="39"/>
        <v>0</v>
      </c>
      <c r="Z203" s="198">
        <f t="shared" si="40"/>
        <v>0</v>
      </c>
      <c r="AB203" s="360"/>
    </row>
    <row r="204" spans="1:28" ht="29.25" customHeight="1">
      <c r="A204" s="201"/>
      <c r="B204" s="202">
        <f t="shared" si="47"/>
        <v>0.33333333333333331</v>
      </c>
      <c r="C204" s="202">
        <f t="shared" si="48"/>
        <v>0.375</v>
      </c>
      <c r="D204" s="203"/>
      <c r="E204" s="216"/>
      <c r="F204" s="205"/>
      <c r="G204" s="206"/>
      <c r="H204" s="214"/>
      <c r="I204" s="207"/>
      <c r="J204" s="207"/>
      <c r="K204" s="208">
        <f t="shared" si="32"/>
        <v>0</v>
      </c>
      <c r="L204" s="209"/>
      <c r="M204" s="210"/>
      <c r="N204" s="211"/>
      <c r="O204" s="212">
        <f t="shared" si="31"/>
        <v>0</v>
      </c>
      <c r="P204" s="204"/>
      <c r="Q204" s="213"/>
      <c r="S204" s="198">
        <f t="shared" si="33"/>
        <v>0</v>
      </c>
      <c r="T204" s="198">
        <f t="shared" si="34"/>
        <v>0</v>
      </c>
      <c r="U204" s="198">
        <f t="shared" si="35"/>
        <v>0</v>
      </c>
      <c r="V204" s="198">
        <f t="shared" si="36"/>
        <v>0</v>
      </c>
      <c r="W204" s="198">
        <f t="shared" si="37"/>
        <v>0</v>
      </c>
      <c r="X204" s="198">
        <f t="shared" si="38"/>
        <v>0</v>
      </c>
      <c r="Y204" s="198">
        <f t="shared" si="39"/>
        <v>0</v>
      </c>
      <c r="Z204" s="198">
        <f t="shared" si="40"/>
        <v>0</v>
      </c>
      <c r="AB204" s="360"/>
    </row>
    <row r="205" spans="1:28" ht="29.25" customHeight="1">
      <c r="A205" s="201"/>
      <c r="B205" s="202">
        <f t="shared" si="47"/>
        <v>0.375</v>
      </c>
      <c r="C205" s="202">
        <f t="shared" si="48"/>
        <v>0.41666666666666669</v>
      </c>
      <c r="D205" s="203"/>
      <c r="E205" s="216"/>
      <c r="F205" s="215"/>
      <c r="G205" s="215"/>
      <c r="H205" s="214"/>
      <c r="I205" s="207"/>
      <c r="J205" s="207"/>
      <c r="K205" s="208">
        <f t="shared" si="32"/>
        <v>0</v>
      </c>
      <c r="L205" s="209"/>
      <c r="M205" s="210"/>
      <c r="N205" s="211"/>
      <c r="O205" s="212">
        <f t="shared" si="31"/>
        <v>0</v>
      </c>
      <c r="P205" s="204"/>
      <c r="Q205" s="213"/>
      <c r="S205" s="198">
        <f t="shared" si="33"/>
        <v>0</v>
      </c>
      <c r="T205" s="198">
        <f t="shared" si="34"/>
        <v>0</v>
      </c>
      <c r="U205" s="198">
        <f t="shared" si="35"/>
        <v>0</v>
      </c>
      <c r="V205" s="198">
        <f t="shared" si="36"/>
        <v>0</v>
      </c>
      <c r="W205" s="198">
        <f t="shared" si="37"/>
        <v>0</v>
      </c>
      <c r="X205" s="198">
        <f t="shared" si="38"/>
        <v>0</v>
      </c>
      <c r="Y205" s="198">
        <f t="shared" si="39"/>
        <v>0</v>
      </c>
      <c r="Z205" s="198">
        <f t="shared" si="40"/>
        <v>0</v>
      </c>
      <c r="AB205" s="360"/>
    </row>
    <row r="206" spans="1:28" ht="29.25" customHeight="1" thickBot="1">
      <c r="A206" s="218"/>
      <c r="B206" s="219">
        <f t="shared" si="47"/>
        <v>0.41666666666666669</v>
      </c>
      <c r="C206" s="219">
        <f t="shared" si="48"/>
        <v>0.45833333333333337</v>
      </c>
      <c r="D206" s="230"/>
      <c r="E206" s="221"/>
      <c r="F206" s="222"/>
      <c r="G206" s="222"/>
      <c r="H206" s="231"/>
      <c r="I206" s="223"/>
      <c r="J206" s="223"/>
      <c r="K206" s="224">
        <f t="shared" si="32"/>
        <v>0</v>
      </c>
      <c r="L206" s="225"/>
      <c r="M206" s="226"/>
      <c r="N206" s="227"/>
      <c r="O206" s="228">
        <f t="shared" si="31"/>
        <v>0</v>
      </c>
      <c r="P206" s="228"/>
      <c r="Q206" s="229"/>
      <c r="S206" s="198">
        <f t="shared" si="33"/>
        <v>0</v>
      </c>
      <c r="T206" s="198">
        <f t="shared" si="34"/>
        <v>0</v>
      </c>
      <c r="U206" s="198">
        <f t="shared" si="35"/>
        <v>0</v>
      </c>
      <c r="V206" s="198">
        <f t="shared" si="36"/>
        <v>0</v>
      </c>
      <c r="W206" s="198">
        <f t="shared" si="37"/>
        <v>0</v>
      </c>
      <c r="X206" s="198">
        <f t="shared" si="38"/>
        <v>0</v>
      </c>
      <c r="Y206" s="198">
        <f t="shared" si="39"/>
        <v>0</v>
      </c>
      <c r="Z206" s="198">
        <f t="shared" si="40"/>
        <v>0</v>
      </c>
      <c r="AB206" s="360"/>
    </row>
    <row r="207" spans="1:28" ht="29.25" customHeight="1">
      <c r="A207" s="201">
        <f>A156</f>
        <v>0</v>
      </c>
      <c r="B207" s="185">
        <f>B144</f>
        <v>0</v>
      </c>
      <c r="C207" s="185">
        <f>B207+1/24</f>
        <v>4.1666666666666664E-2</v>
      </c>
      <c r="D207" s="186"/>
      <c r="E207" s="187"/>
      <c r="F207" s="188"/>
      <c r="G207" s="189"/>
      <c r="H207" s="190"/>
      <c r="I207" s="191"/>
      <c r="J207" s="191"/>
      <c r="K207" s="192">
        <f t="shared" si="32"/>
        <v>0</v>
      </c>
      <c r="L207" s="193"/>
      <c r="M207" s="194"/>
      <c r="N207" s="195"/>
      <c r="O207" s="196">
        <f t="shared" si="31"/>
        <v>0</v>
      </c>
      <c r="P207" s="187"/>
      <c r="Q207" s="197"/>
      <c r="S207" s="198">
        <f t="shared" si="33"/>
        <v>0</v>
      </c>
      <c r="T207" s="198">
        <f t="shared" si="34"/>
        <v>0</v>
      </c>
      <c r="U207" s="198">
        <f t="shared" si="35"/>
        <v>0</v>
      </c>
      <c r="V207" s="198">
        <f t="shared" si="36"/>
        <v>0</v>
      </c>
      <c r="W207" s="198">
        <f t="shared" si="37"/>
        <v>0</v>
      </c>
      <c r="X207" s="198">
        <f t="shared" si="38"/>
        <v>0</v>
      </c>
      <c r="Y207" s="198">
        <f t="shared" si="39"/>
        <v>0</v>
      </c>
      <c r="Z207" s="198">
        <f t="shared" si="40"/>
        <v>0</v>
      </c>
      <c r="AB207" s="360"/>
    </row>
    <row r="208" spans="1:28" ht="29.25" customHeight="1">
      <c r="A208" s="201"/>
      <c r="B208" s="202">
        <f>C207</f>
        <v>4.1666666666666664E-2</v>
      </c>
      <c r="C208" s="202">
        <f>B208+1/24</f>
        <v>8.3333333333333329E-2</v>
      </c>
      <c r="D208" s="203"/>
      <c r="E208" s="204"/>
      <c r="F208" s="205"/>
      <c r="G208" s="206"/>
      <c r="H208" s="214"/>
      <c r="I208" s="207"/>
      <c r="J208" s="207"/>
      <c r="K208" s="208">
        <f t="shared" si="32"/>
        <v>0</v>
      </c>
      <c r="L208" s="209"/>
      <c r="M208" s="210"/>
      <c r="N208" s="211"/>
      <c r="O208" s="212">
        <f t="shared" si="31"/>
        <v>0</v>
      </c>
      <c r="P208" s="204"/>
      <c r="Q208" s="213"/>
      <c r="S208" s="198">
        <f t="shared" si="33"/>
        <v>0</v>
      </c>
      <c r="T208" s="198">
        <f t="shared" si="34"/>
        <v>0</v>
      </c>
      <c r="U208" s="198">
        <f t="shared" si="35"/>
        <v>0</v>
      </c>
      <c r="V208" s="198">
        <f t="shared" si="36"/>
        <v>0</v>
      </c>
      <c r="W208" s="198">
        <f t="shared" si="37"/>
        <v>0</v>
      </c>
      <c r="X208" s="198">
        <f t="shared" si="38"/>
        <v>0</v>
      </c>
      <c r="Y208" s="198">
        <f t="shared" si="39"/>
        <v>0</v>
      </c>
      <c r="Z208" s="198">
        <f t="shared" si="40"/>
        <v>0</v>
      </c>
      <c r="AB208" s="360"/>
    </row>
    <row r="209" spans="1:28" ht="29.25" customHeight="1">
      <c r="A209" s="201"/>
      <c r="B209" s="202">
        <f t="shared" ref="B209:B217" si="49">C208</f>
        <v>8.3333333333333329E-2</v>
      </c>
      <c r="C209" s="202">
        <f t="shared" ref="C209:C217" si="50">B209+1/24</f>
        <v>0.125</v>
      </c>
      <c r="D209" s="203"/>
      <c r="E209" s="204"/>
      <c r="F209" s="215"/>
      <c r="G209" s="215"/>
      <c r="H209" s="214"/>
      <c r="I209" s="207"/>
      <c r="J209" s="207"/>
      <c r="K209" s="208">
        <f t="shared" si="32"/>
        <v>0</v>
      </c>
      <c r="L209" s="209"/>
      <c r="M209" s="210"/>
      <c r="N209" s="211"/>
      <c r="O209" s="212">
        <f t="shared" si="31"/>
        <v>0</v>
      </c>
      <c r="P209" s="204"/>
      <c r="Q209" s="213"/>
      <c r="S209" s="198">
        <f t="shared" si="33"/>
        <v>0</v>
      </c>
      <c r="T209" s="198">
        <f t="shared" si="34"/>
        <v>0</v>
      </c>
      <c r="U209" s="198">
        <f t="shared" si="35"/>
        <v>0</v>
      </c>
      <c r="V209" s="198">
        <f t="shared" si="36"/>
        <v>0</v>
      </c>
      <c r="W209" s="198">
        <f t="shared" si="37"/>
        <v>0</v>
      </c>
      <c r="X209" s="198">
        <f t="shared" si="38"/>
        <v>0</v>
      </c>
      <c r="Y209" s="198">
        <f t="shared" si="39"/>
        <v>0</v>
      </c>
      <c r="Z209" s="198">
        <f t="shared" si="40"/>
        <v>0</v>
      </c>
      <c r="AB209" s="360"/>
    </row>
    <row r="210" spans="1:28" ht="29.25" customHeight="1">
      <c r="A210" s="201"/>
      <c r="B210" s="202">
        <f t="shared" si="49"/>
        <v>0.125</v>
      </c>
      <c r="C210" s="202">
        <f t="shared" si="50"/>
        <v>0.16666666666666666</v>
      </c>
      <c r="D210" s="203"/>
      <c r="E210" s="204"/>
      <c r="F210" s="215"/>
      <c r="G210" s="215"/>
      <c r="H210" s="214"/>
      <c r="I210" s="207"/>
      <c r="J210" s="207"/>
      <c r="K210" s="208">
        <f t="shared" si="32"/>
        <v>0</v>
      </c>
      <c r="L210" s="209"/>
      <c r="M210" s="210"/>
      <c r="N210" s="211"/>
      <c r="O210" s="212">
        <f t="shared" si="31"/>
        <v>0</v>
      </c>
      <c r="P210" s="204"/>
      <c r="Q210" s="213"/>
      <c r="S210" s="198">
        <f t="shared" si="33"/>
        <v>0</v>
      </c>
      <c r="T210" s="198">
        <f t="shared" si="34"/>
        <v>0</v>
      </c>
      <c r="U210" s="198">
        <f t="shared" si="35"/>
        <v>0</v>
      </c>
      <c r="V210" s="198">
        <f t="shared" si="36"/>
        <v>0</v>
      </c>
      <c r="W210" s="198">
        <f t="shared" si="37"/>
        <v>0</v>
      </c>
      <c r="X210" s="198">
        <f t="shared" si="38"/>
        <v>0</v>
      </c>
      <c r="Y210" s="198">
        <f t="shared" si="39"/>
        <v>0</v>
      </c>
      <c r="Z210" s="198">
        <f t="shared" si="40"/>
        <v>0</v>
      </c>
      <c r="AB210" s="360"/>
    </row>
    <row r="211" spans="1:28" ht="29.25" customHeight="1">
      <c r="A211" s="201"/>
      <c r="B211" s="202">
        <f t="shared" si="49"/>
        <v>0.16666666666666666</v>
      </c>
      <c r="C211" s="202">
        <f t="shared" si="50"/>
        <v>0.20833333333333331</v>
      </c>
      <c r="D211" s="203"/>
      <c r="E211" s="204"/>
      <c r="F211" s="215"/>
      <c r="G211" s="215"/>
      <c r="H211" s="214"/>
      <c r="I211" s="207"/>
      <c r="J211" s="207"/>
      <c r="K211" s="208">
        <f t="shared" si="32"/>
        <v>0</v>
      </c>
      <c r="L211" s="209"/>
      <c r="M211" s="210"/>
      <c r="N211" s="211"/>
      <c r="O211" s="212">
        <f t="shared" si="31"/>
        <v>0</v>
      </c>
      <c r="P211" s="204"/>
      <c r="Q211" s="213"/>
      <c r="S211" s="198">
        <f t="shared" si="33"/>
        <v>0</v>
      </c>
      <c r="T211" s="198">
        <f t="shared" si="34"/>
        <v>0</v>
      </c>
      <c r="U211" s="198">
        <f t="shared" si="35"/>
        <v>0</v>
      </c>
      <c r="V211" s="198">
        <f t="shared" si="36"/>
        <v>0</v>
      </c>
      <c r="W211" s="198">
        <f t="shared" si="37"/>
        <v>0</v>
      </c>
      <c r="X211" s="198">
        <f t="shared" si="38"/>
        <v>0</v>
      </c>
      <c r="Y211" s="198">
        <f t="shared" si="39"/>
        <v>0</v>
      </c>
      <c r="Z211" s="198">
        <f t="shared" si="40"/>
        <v>0</v>
      </c>
      <c r="AB211" s="360"/>
    </row>
    <row r="212" spans="1:28" ht="29.25" customHeight="1">
      <c r="A212" s="201"/>
      <c r="B212" s="202">
        <f t="shared" si="49"/>
        <v>0.20833333333333331</v>
      </c>
      <c r="C212" s="202">
        <f t="shared" si="50"/>
        <v>0.24999999999999997</v>
      </c>
      <c r="D212" s="203"/>
      <c r="E212" s="204"/>
      <c r="F212" s="215"/>
      <c r="G212" s="215"/>
      <c r="H212" s="214"/>
      <c r="I212" s="207"/>
      <c r="J212" s="207"/>
      <c r="K212" s="208">
        <f t="shared" si="32"/>
        <v>0</v>
      </c>
      <c r="L212" s="209"/>
      <c r="M212" s="210"/>
      <c r="N212" s="211"/>
      <c r="O212" s="212">
        <f t="shared" si="31"/>
        <v>0</v>
      </c>
      <c r="P212" s="204"/>
      <c r="Q212" s="213"/>
      <c r="S212" s="198">
        <f t="shared" si="33"/>
        <v>0</v>
      </c>
      <c r="T212" s="198">
        <f t="shared" si="34"/>
        <v>0</v>
      </c>
      <c r="U212" s="198">
        <f t="shared" si="35"/>
        <v>0</v>
      </c>
      <c r="V212" s="198">
        <f t="shared" si="36"/>
        <v>0</v>
      </c>
      <c r="W212" s="198">
        <f t="shared" si="37"/>
        <v>0</v>
      </c>
      <c r="X212" s="198">
        <f t="shared" si="38"/>
        <v>0</v>
      </c>
      <c r="Y212" s="198">
        <f t="shared" si="39"/>
        <v>0</v>
      </c>
      <c r="Z212" s="198">
        <f t="shared" si="40"/>
        <v>0</v>
      </c>
      <c r="AB212" s="360"/>
    </row>
    <row r="213" spans="1:28" ht="29.25" customHeight="1">
      <c r="A213" s="201"/>
      <c r="B213" s="202">
        <f t="shared" si="49"/>
        <v>0.24999999999999997</v>
      </c>
      <c r="C213" s="202">
        <f t="shared" si="50"/>
        <v>0.29166666666666663</v>
      </c>
      <c r="D213" s="203"/>
      <c r="E213" s="216"/>
      <c r="F213" s="215"/>
      <c r="G213" s="215"/>
      <c r="H213" s="214"/>
      <c r="I213" s="207"/>
      <c r="J213" s="207"/>
      <c r="K213" s="208">
        <f t="shared" si="32"/>
        <v>0</v>
      </c>
      <c r="L213" s="209"/>
      <c r="M213" s="210"/>
      <c r="N213" s="211"/>
      <c r="O213" s="212">
        <f t="shared" si="31"/>
        <v>0</v>
      </c>
      <c r="P213" s="204"/>
      <c r="Q213" s="213"/>
      <c r="S213" s="198">
        <f t="shared" si="33"/>
        <v>0</v>
      </c>
      <c r="T213" s="198">
        <f t="shared" si="34"/>
        <v>0</v>
      </c>
      <c r="U213" s="198">
        <f t="shared" si="35"/>
        <v>0</v>
      </c>
      <c r="V213" s="198">
        <f t="shared" si="36"/>
        <v>0</v>
      </c>
      <c r="W213" s="198">
        <f t="shared" si="37"/>
        <v>0</v>
      </c>
      <c r="X213" s="198">
        <f t="shared" si="38"/>
        <v>0</v>
      </c>
      <c r="Y213" s="198">
        <f t="shared" si="39"/>
        <v>0</v>
      </c>
      <c r="Z213" s="198">
        <f t="shared" si="40"/>
        <v>0</v>
      </c>
      <c r="AB213" s="360"/>
    </row>
    <row r="214" spans="1:28" ht="29.25" customHeight="1">
      <c r="A214" s="201"/>
      <c r="B214" s="202">
        <f t="shared" si="49"/>
        <v>0.29166666666666663</v>
      </c>
      <c r="C214" s="202">
        <f t="shared" si="50"/>
        <v>0.33333333333333331</v>
      </c>
      <c r="D214" s="203"/>
      <c r="E214" s="216"/>
      <c r="F214" s="205"/>
      <c r="G214" s="206"/>
      <c r="H214" s="214"/>
      <c r="I214" s="207"/>
      <c r="J214" s="207"/>
      <c r="K214" s="208">
        <f t="shared" si="32"/>
        <v>0</v>
      </c>
      <c r="L214" s="209"/>
      <c r="M214" s="210"/>
      <c r="N214" s="211"/>
      <c r="O214" s="212">
        <f t="shared" si="31"/>
        <v>0</v>
      </c>
      <c r="P214" s="204"/>
      <c r="Q214" s="213"/>
      <c r="S214" s="198">
        <f t="shared" si="33"/>
        <v>0</v>
      </c>
      <c r="T214" s="198">
        <f t="shared" si="34"/>
        <v>0</v>
      </c>
      <c r="U214" s="198">
        <f t="shared" si="35"/>
        <v>0</v>
      </c>
      <c r="V214" s="198">
        <f t="shared" si="36"/>
        <v>0</v>
      </c>
      <c r="W214" s="198">
        <f t="shared" si="37"/>
        <v>0</v>
      </c>
      <c r="X214" s="198">
        <f t="shared" si="38"/>
        <v>0</v>
      </c>
      <c r="Y214" s="198">
        <f t="shared" si="39"/>
        <v>0</v>
      </c>
      <c r="Z214" s="198">
        <f t="shared" si="40"/>
        <v>0</v>
      </c>
      <c r="AB214" s="360"/>
    </row>
    <row r="215" spans="1:28" ht="29.25" customHeight="1">
      <c r="A215" s="201"/>
      <c r="B215" s="202">
        <f t="shared" si="49"/>
        <v>0.33333333333333331</v>
      </c>
      <c r="C215" s="202">
        <f t="shared" si="50"/>
        <v>0.375</v>
      </c>
      <c r="D215" s="203"/>
      <c r="E215" s="216"/>
      <c r="F215" s="205"/>
      <c r="G215" s="206"/>
      <c r="H215" s="214"/>
      <c r="I215" s="207"/>
      <c r="J215" s="207"/>
      <c r="K215" s="208">
        <f t="shared" si="32"/>
        <v>0</v>
      </c>
      <c r="L215" s="209"/>
      <c r="M215" s="210"/>
      <c r="N215" s="211"/>
      <c r="O215" s="212">
        <f t="shared" si="31"/>
        <v>0</v>
      </c>
      <c r="P215" s="204"/>
      <c r="Q215" s="213"/>
      <c r="S215" s="198">
        <f t="shared" si="33"/>
        <v>0</v>
      </c>
      <c r="T215" s="198">
        <f t="shared" si="34"/>
        <v>0</v>
      </c>
      <c r="U215" s="198">
        <f t="shared" si="35"/>
        <v>0</v>
      </c>
      <c r="V215" s="198">
        <f t="shared" si="36"/>
        <v>0</v>
      </c>
      <c r="W215" s="198">
        <f t="shared" si="37"/>
        <v>0</v>
      </c>
      <c r="X215" s="198">
        <f t="shared" si="38"/>
        <v>0</v>
      </c>
      <c r="Y215" s="198">
        <f t="shared" si="39"/>
        <v>0</v>
      </c>
      <c r="Z215" s="198">
        <f t="shared" si="40"/>
        <v>0</v>
      </c>
      <c r="AB215" s="360"/>
    </row>
    <row r="216" spans="1:28" ht="29.25" customHeight="1">
      <c r="A216" s="201"/>
      <c r="B216" s="202">
        <f t="shared" si="49"/>
        <v>0.375</v>
      </c>
      <c r="C216" s="202">
        <f t="shared" si="50"/>
        <v>0.41666666666666669</v>
      </c>
      <c r="D216" s="203"/>
      <c r="E216" s="216"/>
      <c r="F216" s="215"/>
      <c r="G216" s="215"/>
      <c r="H216" s="214"/>
      <c r="I216" s="207"/>
      <c r="J216" s="207"/>
      <c r="K216" s="208">
        <f t="shared" si="32"/>
        <v>0</v>
      </c>
      <c r="L216" s="209"/>
      <c r="M216" s="210"/>
      <c r="N216" s="211"/>
      <c r="O216" s="212">
        <f t="shared" si="31"/>
        <v>0</v>
      </c>
      <c r="P216" s="204"/>
      <c r="Q216" s="213"/>
      <c r="S216" s="198">
        <f t="shared" si="33"/>
        <v>0</v>
      </c>
      <c r="T216" s="198">
        <f t="shared" si="34"/>
        <v>0</v>
      </c>
      <c r="U216" s="198">
        <f t="shared" si="35"/>
        <v>0</v>
      </c>
      <c r="V216" s="198">
        <f t="shared" si="36"/>
        <v>0</v>
      </c>
      <c r="W216" s="198">
        <f t="shared" si="37"/>
        <v>0</v>
      </c>
      <c r="X216" s="198">
        <f t="shared" si="38"/>
        <v>0</v>
      </c>
      <c r="Y216" s="198">
        <f t="shared" si="39"/>
        <v>0</v>
      </c>
      <c r="Z216" s="198">
        <f t="shared" si="40"/>
        <v>0</v>
      </c>
      <c r="AB216" s="360"/>
    </row>
    <row r="217" spans="1:28" ht="29.25" customHeight="1" thickBot="1">
      <c r="A217" s="218"/>
      <c r="B217" s="219">
        <f t="shared" si="49"/>
        <v>0.41666666666666669</v>
      </c>
      <c r="C217" s="219">
        <f t="shared" si="50"/>
        <v>0.45833333333333337</v>
      </c>
      <c r="D217" s="230"/>
      <c r="E217" s="221"/>
      <c r="F217" s="222"/>
      <c r="G217" s="222"/>
      <c r="H217" s="231"/>
      <c r="I217" s="223"/>
      <c r="J217" s="223"/>
      <c r="K217" s="224">
        <f t="shared" si="32"/>
        <v>0</v>
      </c>
      <c r="L217" s="225"/>
      <c r="M217" s="226"/>
      <c r="N217" s="227"/>
      <c r="O217" s="228">
        <f t="shared" si="31"/>
        <v>0</v>
      </c>
      <c r="P217" s="228"/>
      <c r="Q217" s="229"/>
      <c r="S217" s="198">
        <f t="shared" si="33"/>
        <v>0</v>
      </c>
      <c r="T217" s="198">
        <f t="shared" si="34"/>
        <v>0</v>
      </c>
      <c r="U217" s="198">
        <f t="shared" si="35"/>
        <v>0</v>
      </c>
      <c r="V217" s="198">
        <f t="shared" si="36"/>
        <v>0</v>
      </c>
      <c r="W217" s="198">
        <f t="shared" si="37"/>
        <v>0</v>
      </c>
      <c r="X217" s="198">
        <f t="shared" si="38"/>
        <v>0</v>
      </c>
      <c r="Y217" s="198">
        <f t="shared" si="39"/>
        <v>0</v>
      </c>
      <c r="Z217" s="198">
        <f t="shared" si="40"/>
        <v>0</v>
      </c>
      <c r="AB217" s="360"/>
    </row>
    <row r="218" spans="1:28" ht="29.25" customHeight="1">
      <c r="A218" s="184">
        <f>A157</f>
        <v>0</v>
      </c>
      <c r="B218" s="185">
        <f>B146</f>
        <v>0</v>
      </c>
      <c r="C218" s="185">
        <f>B218+1/24</f>
        <v>4.1666666666666664E-2</v>
      </c>
      <c r="D218" s="186"/>
      <c r="E218" s="187"/>
      <c r="F218" s="188"/>
      <c r="G218" s="189"/>
      <c r="H218" s="190"/>
      <c r="I218" s="191"/>
      <c r="J218" s="191"/>
      <c r="K218" s="192">
        <f t="shared" si="32"/>
        <v>0</v>
      </c>
      <c r="L218" s="193"/>
      <c r="M218" s="194"/>
      <c r="N218" s="195"/>
      <c r="O218" s="196">
        <f t="shared" si="31"/>
        <v>0</v>
      </c>
      <c r="P218" s="187"/>
      <c r="Q218" s="197"/>
      <c r="S218" s="198">
        <f t="shared" si="33"/>
        <v>0</v>
      </c>
      <c r="T218" s="198">
        <f t="shared" si="34"/>
        <v>0</v>
      </c>
      <c r="U218" s="198">
        <f t="shared" si="35"/>
        <v>0</v>
      </c>
      <c r="V218" s="198">
        <f t="shared" si="36"/>
        <v>0</v>
      </c>
      <c r="W218" s="198">
        <f t="shared" si="37"/>
        <v>0</v>
      </c>
      <c r="X218" s="198">
        <f t="shared" si="38"/>
        <v>0</v>
      </c>
      <c r="Y218" s="198">
        <f t="shared" si="39"/>
        <v>0</v>
      </c>
      <c r="Z218" s="198">
        <f t="shared" si="40"/>
        <v>0</v>
      </c>
      <c r="AB218" s="360"/>
    </row>
    <row r="219" spans="1:28" ht="29.25" customHeight="1">
      <c r="A219" s="201"/>
      <c r="B219" s="202">
        <f>C218</f>
        <v>4.1666666666666664E-2</v>
      </c>
      <c r="C219" s="202">
        <f>B219+1/24</f>
        <v>8.3333333333333329E-2</v>
      </c>
      <c r="D219" s="203"/>
      <c r="E219" s="204"/>
      <c r="F219" s="205"/>
      <c r="G219" s="206"/>
      <c r="H219" s="214"/>
      <c r="I219" s="207"/>
      <c r="J219" s="207"/>
      <c r="K219" s="208">
        <f t="shared" si="32"/>
        <v>0</v>
      </c>
      <c r="L219" s="209"/>
      <c r="M219" s="210"/>
      <c r="N219" s="211"/>
      <c r="O219" s="212">
        <f t="shared" si="31"/>
        <v>0</v>
      </c>
      <c r="P219" s="204"/>
      <c r="Q219" s="213"/>
      <c r="S219" s="198">
        <f t="shared" si="33"/>
        <v>0</v>
      </c>
      <c r="T219" s="198">
        <f t="shared" si="34"/>
        <v>0</v>
      </c>
      <c r="U219" s="198">
        <f t="shared" si="35"/>
        <v>0</v>
      </c>
      <c r="V219" s="198">
        <f t="shared" si="36"/>
        <v>0</v>
      </c>
      <c r="W219" s="198">
        <f t="shared" si="37"/>
        <v>0</v>
      </c>
      <c r="X219" s="198">
        <f t="shared" si="38"/>
        <v>0</v>
      </c>
      <c r="Y219" s="198">
        <f t="shared" si="39"/>
        <v>0</v>
      </c>
      <c r="Z219" s="198">
        <f t="shared" si="40"/>
        <v>0</v>
      </c>
      <c r="AB219" s="360"/>
    </row>
    <row r="220" spans="1:28" ht="29.25" customHeight="1">
      <c r="A220" s="201"/>
      <c r="B220" s="202">
        <f t="shared" ref="B220:B228" si="51">C219</f>
        <v>8.3333333333333329E-2</v>
      </c>
      <c r="C220" s="202">
        <f t="shared" ref="C220:C228" si="52">B220+1/24</f>
        <v>0.125</v>
      </c>
      <c r="D220" s="203"/>
      <c r="E220" s="204"/>
      <c r="F220" s="215"/>
      <c r="G220" s="215"/>
      <c r="H220" s="214"/>
      <c r="I220" s="207"/>
      <c r="J220" s="207"/>
      <c r="K220" s="208">
        <f t="shared" si="32"/>
        <v>0</v>
      </c>
      <c r="L220" s="209"/>
      <c r="M220" s="210"/>
      <c r="N220" s="211"/>
      <c r="O220" s="212">
        <f t="shared" si="31"/>
        <v>0</v>
      </c>
      <c r="P220" s="204"/>
      <c r="Q220" s="213"/>
      <c r="S220" s="198">
        <f t="shared" si="33"/>
        <v>0</v>
      </c>
      <c r="T220" s="198">
        <f t="shared" si="34"/>
        <v>0</v>
      </c>
      <c r="U220" s="198">
        <f t="shared" si="35"/>
        <v>0</v>
      </c>
      <c r="V220" s="198">
        <f t="shared" si="36"/>
        <v>0</v>
      </c>
      <c r="W220" s="198">
        <f t="shared" si="37"/>
        <v>0</v>
      </c>
      <c r="X220" s="198">
        <f t="shared" si="38"/>
        <v>0</v>
      </c>
      <c r="Y220" s="198">
        <f t="shared" si="39"/>
        <v>0</v>
      </c>
      <c r="Z220" s="198">
        <f t="shared" si="40"/>
        <v>0</v>
      </c>
      <c r="AB220" s="360"/>
    </row>
    <row r="221" spans="1:28" ht="29.25" customHeight="1">
      <c r="A221" s="201"/>
      <c r="B221" s="202">
        <f t="shared" si="51"/>
        <v>0.125</v>
      </c>
      <c r="C221" s="202">
        <f t="shared" si="52"/>
        <v>0.16666666666666666</v>
      </c>
      <c r="D221" s="203"/>
      <c r="E221" s="204"/>
      <c r="F221" s="215"/>
      <c r="G221" s="215"/>
      <c r="H221" s="214"/>
      <c r="I221" s="207"/>
      <c r="J221" s="207"/>
      <c r="K221" s="208">
        <f t="shared" si="32"/>
        <v>0</v>
      </c>
      <c r="L221" s="209"/>
      <c r="M221" s="210"/>
      <c r="N221" s="211"/>
      <c r="O221" s="212">
        <f t="shared" si="31"/>
        <v>0</v>
      </c>
      <c r="P221" s="204"/>
      <c r="Q221" s="213"/>
      <c r="S221" s="198">
        <f t="shared" si="33"/>
        <v>0</v>
      </c>
      <c r="T221" s="198">
        <f t="shared" si="34"/>
        <v>0</v>
      </c>
      <c r="U221" s="198">
        <f t="shared" si="35"/>
        <v>0</v>
      </c>
      <c r="V221" s="198">
        <f t="shared" si="36"/>
        <v>0</v>
      </c>
      <c r="W221" s="198">
        <f t="shared" si="37"/>
        <v>0</v>
      </c>
      <c r="X221" s="198">
        <f t="shared" si="38"/>
        <v>0</v>
      </c>
      <c r="Y221" s="198">
        <f t="shared" si="39"/>
        <v>0</v>
      </c>
      <c r="Z221" s="198">
        <f t="shared" si="40"/>
        <v>0</v>
      </c>
      <c r="AB221" s="360"/>
    </row>
    <row r="222" spans="1:28" ht="29.25" customHeight="1">
      <c r="A222" s="201"/>
      <c r="B222" s="202">
        <f t="shared" si="51"/>
        <v>0.16666666666666666</v>
      </c>
      <c r="C222" s="202">
        <f t="shared" si="52"/>
        <v>0.20833333333333331</v>
      </c>
      <c r="D222" s="203"/>
      <c r="E222" s="204"/>
      <c r="F222" s="215"/>
      <c r="G222" s="215"/>
      <c r="H222" s="214"/>
      <c r="I222" s="207"/>
      <c r="J222" s="207"/>
      <c r="K222" s="208">
        <f t="shared" si="32"/>
        <v>0</v>
      </c>
      <c r="L222" s="209"/>
      <c r="M222" s="210"/>
      <c r="N222" s="211"/>
      <c r="O222" s="212">
        <f t="shared" si="31"/>
        <v>0</v>
      </c>
      <c r="P222" s="204"/>
      <c r="Q222" s="213"/>
      <c r="S222" s="198">
        <f t="shared" si="33"/>
        <v>0</v>
      </c>
      <c r="T222" s="198">
        <f t="shared" si="34"/>
        <v>0</v>
      </c>
      <c r="U222" s="198">
        <f t="shared" si="35"/>
        <v>0</v>
      </c>
      <c r="V222" s="198">
        <f t="shared" si="36"/>
        <v>0</v>
      </c>
      <c r="W222" s="198">
        <f t="shared" si="37"/>
        <v>0</v>
      </c>
      <c r="X222" s="198">
        <f t="shared" si="38"/>
        <v>0</v>
      </c>
      <c r="Y222" s="198">
        <f t="shared" si="39"/>
        <v>0</v>
      </c>
      <c r="Z222" s="198">
        <f t="shared" si="40"/>
        <v>0</v>
      </c>
      <c r="AB222" s="360"/>
    </row>
    <row r="223" spans="1:28" ht="29.25" customHeight="1">
      <c r="A223" s="201"/>
      <c r="B223" s="202">
        <f t="shared" si="51"/>
        <v>0.20833333333333331</v>
      </c>
      <c r="C223" s="202">
        <f t="shared" si="52"/>
        <v>0.24999999999999997</v>
      </c>
      <c r="D223" s="203"/>
      <c r="E223" s="204"/>
      <c r="F223" s="215"/>
      <c r="G223" s="215"/>
      <c r="H223" s="214"/>
      <c r="I223" s="207"/>
      <c r="J223" s="207"/>
      <c r="K223" s="208">
        <f t="shared" si="32"/>
        <v>0</v>
      </c>
      <c r="L223" s="209"/>
      <c r="M223" s="210"/>
      <c r="N223" s="211"/>
      <c r="O223" s="212">
        <f t="shared" si="31"/>
        <v>0</v>
      </c>
      <c r="P223" s="204"/>
      <c r="Q223" s="213"/>
      <c r="S223" s="198">
        <f t="shared" si="33"/>
        <v>0</v>
      </c>
      <c r="T223" s="198">
        <f t="shared" si="34"/>
        <v>0</v>
      </c>
      <c r="U223" s="198">
        <f t="shared" si="35"/>
        <v>0</v>
      </c>
      <c r="V223" s="198">
        <f t="shared" si="36"/>
        <v>0</v>
      </c>
      <c r="W223" s="198">
        <f t="shared" si="37"/>
        <v>0</v>
      </c>
      <c r="X223" s="198">
        <f t="shared" si="38"/>
        <v>0</v>
      </c>
      <c r="Y223" s="198">
        <f t="shared" si="39"/>
        <v>0</v>
      </c>
      <c r="Z223" s="198">
        <f t="shared" si="40"/>
        <v>0</v>
      </c>
      <c r="AB223" s="360"/>
    </row>
    <row r="224" spans="1:28" ht="29.25" customHeight="1">
      <c r="A224" s="201"/>
      <c r="B224" s="202">
        <f t="shared" si="51"/>
        <v>0.24999999999999997</v>
      </c>
      <c r="C224" s="202">
        <f t="shared" si="52"/>
        <v>0.29166666666666663</v>
      </c>
      <c r="D224" s="203"/>
      <c r="E224" s="216"/>
      <c r="F224" s="215"/>
      <c r="G224" s="215"/>
      <c r="H224" s="214"/>
      <c r="I224" s="207"/>
      <c r="J224" s="207"/>
      <c r="K224" s="208">
        <f t="shared" si="32"/>
        <v>0</v>
      </c>
      <c r="L224" s="209"/>
      <c r="M224" s="210"/>
      <c r="N224" s="211"/>
      <c r="O224" s="212">
        <f t="shared" si="31"/>
        <v>0</v>
      </c>
      <c r="P224" s="204"/>
      <c r="Q224" s="213"/>
      <c r="S224" s="198">
        <f t="shared" si="33"/>
        <v>0</v>
      </c>
      <c r="T224" s="198">
        <f t="shared" si="34"/>
        <v>0</v>
      </c>
      <c r="U224" s="198">
        <f t="shared" si="35"/>
        <v>0</v>
      </c>
      <c r="V224" s="198">
        <f t="shared" si="36"/>
        <v>0</v>
      </c>
      <c r="W224" s="198">
        <f t="shared" si="37"/>
        <v>0</v>
      </c>
      <c r="X224" s="198">
        <f t="shared" si="38"/>
        <v>0</v>
      </c>
      <c r="Y224" s="198">
        <f t="shared" si="39"/>
        <v>0</v>
      </c>
      <c r="Z224" s="198">
        <f t="shared" si="40"/>
        <v>0</v>
      </c>
      <c r="AB224" s="360"/>
    </row>
    <row r="225" spans="1:28" ht="29.25" customHeight="1">
      <c r="A225" s="201"/>
      <c r="B225" s="202">
        <f t="shared" si="51"/>
        <v>0.29166666666666663</v>
      </c>
      <c r="C225" s="202">
        <f t="shared" si="52"/>
        <v>0.33333333333333331</v>
      </c>
      <c r="D225" s="203"/>
      <c r="E225" s="216"/>
      <c r="F225" s="205"/>
      <c r="G225" s="206"/>
      <c r="H225" s="214"/>
      <c r="I225" s="207"/>
      <c r="J225" s="207"/>
      <c r="K225" s="208">
        <f t="shared" si="32"/>
        <v>0</v>
      </c>
      <c r="L225" s="209"/>
      <c r="M225" s="210"/>
      <c r="N225" s="211"/>
      <c r="O225" s="212">
        <f t="shared" si="31"/>
        <v>0</v>
      </c>
      <c r="P225" s="204"/>
      <c r="Q225" s="213"/>
      <c r="S225" s="198">
        <f t="shared" si="33"/>
        <v>0</v>
      </c>
      <c r="T225" s="198">
        <f t="shared" si="34"/>
        <v>0</v>
      </c>
      <c r="U225" s="198">
        <f t="shared" si="35"/>
        <v>0</v>
      </c>
      <c r="V225" s="198">
        <f t="shared" si="36"/>
        <v>0</v>
      </c>
      <c r="W225" s="198">
        <f t="shared" si="37"/>
        <v>0</v>
      </c>
      <c r="X225" s="198">
        <f t="shared" si="38"/>
        <v>0</v>
      </c>
      <c r="Y225" s="198">
        <f t="shared" si="39"/>
        <v>0</v>
      </c>
      <c r="Z225" s="198">
        <f t="shared" si="40"/>
        <v>0</v>
      </c>
      <c r="AB225" s="360"/>
    </row>
    <row r="226" spans="1:28" ht="29.25" customHeight="1">
      <c r="A226" s="201"/>
      <c r="B226" s="202">
        <f t="shared" si="51"/>
        <v>0.33333333333333331</v>
      </c>
      <c r="C226" s="202">
        <f t="shared" si="52"/>
        <v>0.375</v>
      </c>
      <c r="D226" s="203"/>
      <c r="E226" s="216"/>
      <c r="F226" s="205"/>
      <c r="G226" s="206"/>
      <c r="H226" s="214"/>
      <c r="I226" s="207"/>
      <c r="J226" s="207"/>
      <c r="K226" s="208">
        <f t="shared" si="32"/>
        <v>0</v>
      </c>
      <c r="L226" s="209"/>
      <c r="M226" s="210"/>
      <c r="N226" s="211"/>
      <c r="O226" s="212">
        <f t="shared" ref="O226:O228" si="53">IF(H226=$V$5,$F$122,"")</f>
        <v>0</v>
      </c>
      <c r="P226" s="204"/>
      <c r="Q226" s="213"/>
      <c r="S226" s="198">
        <f t="shared" si="33"/>
        <v>0</v>
      </c>
      <c r="T226" s="198">
        <f t="shared" si="34"/>
        <v>0</v>
      </c>
      <c r="U226" s="198">
        <f t="shared" si="35"/>
        <v>0</v>
      </c>
      <c r="V226" s="198">
        <f t="shared" si="36"/>
        <v>0</v>
      </c>
      <c r="W226" s="198">
        <f t="shared" si="37"/>
        <v>0</v>
      </c>
      <c r="X226" s="198">
        <f t="shared" si="38"/>
        <v>0</v>
      </c>
      <c r="Y226" s="198">
        <f t="shared" si="39"/>
        <v>0</v>
      </c>
      <c r="Z226" s="198">
        <f t="shared" si="40"/>
        <v>0</v>
      </c>
      <c r="AB226" s="360"/>
    </row>
    <row r="227" spans="1:28" ht="29.25" customHeight="1">
      <c r="A227" s="201"/>
      <c r="B227" s="202">
        <f t="shared" si="51"/>
        <v>0.375</v>
      </c>
      <c r="C227" s="202">
        <f t="shared" si="52"/>
        <v>0.41666666666666669</v>
      </c>
      <c r="D227" s="203"/>
      <c r="E227" s="216"/>
      <c r="F227" s="215"/>
      <c r="G227" s="215"/>
      <c r="H227" s="214"/>
      <c r="I227" s="207"/>
      <c r="J227" s="207"/>
      <c r="K227" s="208">
        <f t="shared" ref="K227:K228" si="54">(J227-I227+(J227&lt;I227))*24*60</f>
        <v>0</v>
      </c>
      <c r="L227" s="209"/>
      <c r="M227" s="210"/>
      <c r="N227" s="211"/>
      <c r="O227" s="212">
        <f t="shared" si="53"/>
        <v>0</v>
      </c>
      <c r="P227" s="204"/>
      <c r="Q227" s="213"/>
      <c r="S227" s="198">
        <f>IF($H227="ПЛАНОВЫЕ",$K227,0)</f>
        <v>0</v>
      </c>
      <c r="T227" s="198">
        <f>IF($H227="ПРОИЗВОДСТВЕННЫЕ",$K227,0)</f>
        <v>0</v>
      </c>
      <c r="U227" s="198">
        <f>IF($H227="ТЕХНИЧЕСКИЕ",$K227,0)</f>
        <v>0</v>
      </c>
      <c r="V227" s="198">
        <f>IF($H227="ТЕХНОЛОГИЧЕСКИЕ",$K227,0)</f>
        <v>0</v>
      </c>
      <c r="W227" s="198">
        <f>IF($H227="ЛАБОРАТОРНЫЕ",$K227,0)</f>
        <v>0</v>
      </c>
      <c r="X227" s="198">
        <f>IF($H227="СЫРЬЕВЫЕ",$K227,0)</f>
        <v>0</v>
      </c>
      <c r="Y227" s="198">
        <f>IF($H227="ЛОГИСТИЧЕСКИЕ",$K227,0)</f>
        <v>0</v>
      </c>
      <c r="Z227" s="198">
        <f>IF($H227="ОБЩЕЗАВОДСКИЕ",$K227,0)</f>
        <v>0</v>
      </c>
      <c r="AB227" s="360"/>
    </row>
    <row r="228" spans="1:28" ht="29.25" customHeight="1" thickBot="1">
      <c r="A228" s="218"/>
      <c r="B228" s="219">
        <f t="shared" si="51"/>
        <v>0.41666666666666669</v>
      </c>
      <c r="C228" s="219">
        <f t="shared" si="52"/>
        <v>0.45833333333333337</v>
      </c>
      <c r="D228" s="230"/>
      <c r="E228" s="221"/>
      <c r="F228" s="222"/>
      <c r="G228" s="222"/>
      <c r="H228" s="231"/>
      <c r="I228" s="223"/>
      <c r="J228" s="223"/>
      <c r="K228" s="224">
        <f t="shared" si="54"/>
        <v>0</v>
      </c>
      <c r="L228" s="225"/>
      <c r="M228" s="226"/>
      <c r="N228" s="227"/>
      <c r="O228" s="228">
        <f t="shared" si="53"/>
        <v>0</v>
      </c>
      <c r="P228" s="228"/>
      <c r="Q228" s="229"/>
      <c r="S228" s="198">
        <f>IF($H228="ПЛАНОВЫЕ",$K228,0)</f>
        <v>0</v>
      </c>
      <c r="T228" s="198">
        <f>IF($H228="ПРОИЗВОДСТВЕННЫЕ",$K228,0)</f>
        <v>0</v>
      </c>
      <c r="U228" s="198">
        <f>IF($H228="ТЕХНИЧЕСКИЕ",$K228,0)</f>
        <v>0</v>
      </c>
      <c r="V228" s="198">
        <f>IF($H228="ТЕХНОЛОГИЧЕСКИЕ",$K228,0)</f>
        <v>0</v>
      </c>
      <c r="W228" s="198">
        <f>IF($H228="ЛАБОРАТОРНЫЕ",$K228,0)</f>
        <v>0</v>
      </c>
      <c r="X228" s="198">
        <f>IF($H228="СЫРЬЕВЫЕ",$K228,0)</f>
        <v>0</v>
      </c>
      <c r="Y228" s="198">
        <f>IF($H228="ЛОГИСТИЧЕСКИЕ",$K228,0)</f>
        <v>0</v>
      </c>
      <c r="Z228" s="198">
        <f>IF($H228="ОБЩЕЗАВОДСКИЕ",$K228,0)</f>
        <v>0</v>
      </c>
      <c r="AB228" s="360"/>
    </row>
    <row r="229" spans="1:28" ht="13.8" thickBot="1">
      <c r="S229" s="268">
        <f t="shared" ref="S229:Z229" si="55">SUM(S162:S228)</f>
        <v>0</v>
      </c>
      <c r="T229" s="268">
        <f t="shared" si="55"/>
        <v>0</v>
      </c>
      <c r="U229" s="268">
        <f t="shared" si="55"/>
        <v>0</v>
      </c>
      <c r="V229" s="268">
        <f t="shared" si="55"/>
        <v>0</v>
      </c>
      <c r="W229" s="268">
        <f t="shared" si="55"/>
        <v>0</v>
      </c>
      <c r="X229" s="268">
        <f t="shared" si="55"/>
        <v>0</v>
      </c>
      <c r="Y229" s="268">
        <f t="shared" si="55"/>
        <v>0</v>
      </c>
      <c r="Z229" s="268">
        <f t="shared" si="55"/>
        <v>0</v>
      </c>
      <c r="AB229" s="360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42" priority="41" stopIfTrue="1">
      <formula>LEN(TRIM(A37))=0</formula>
    </cfRule>
  </conditionalFormatting>
  <conditionalFormatting sqref="A152:F157">
    <cfRule type="containsBlanks" dxfId="41" priority="34" stopIfTrue="1">
      <formula>LEN(TRIM(A152))=0</formula>
    </cfRule>
  </conditionalFormatting>
  <conditionalFormatting sqref="B21:C32">
    <cfRule type="containsBlanks" dxfId="40" priority="43" stopIfTrue="1">
      <formula>LEN(TRIM(B21))=0</formula>
    </cfRule>
  </conditionalFormatting>
  <conditionalFormatting sqref="B136:C147">
    <cfRule type="containsBlanks" dxfId="39" priority="36" stopIfTrue="1">
      <formula>LEN(TRIM(B136))=0</formula>
    </cfRule>
  </conditionalFormatting>
  <conditionalFormatting sqref="D162:D166 D167:G168 D169:F170">
    <cfRule type="containsBlanks" dxfId="38" priority="33" stopIfTrue="1">
      <formula>LEN(TRIM(D162))=0</formula>
    </cfRule>
  </conditionalFormatting>
  <conditionalFormatting sqref="D181:F182 D183:G184">
    <cfRule type="containsBlanks" dxfId="37" priority="32" stopIfTrue="1">
      <formula>LEN(TRIM(D181))=0</formula>
    </cfRule>
  </conditionalFormatting>
  <conditionalFormatting sqref="D64:G65 D66:F67">
    <cfRule type="containsBlanks" dxfId="36" priority="39" stopIfTrue="1">
      <formula>LEN(TRIM(D64))=0</formula>
    </cfRule>
  </conditionalFormatting>
  <conditionalFormatting sqref="D73:G76 D77:F78 D79:J80">
    <cfRule type="containsBlanks" dxfId="35" priority="38" stopIfTrue="1">
      <formula>LEN(TRIM(D73))=0</formula>
    </cfRule>
  </conditionalFormatting>
  <conditionalFormatting sqref="D81:G87 D88:F89 D90:J91">
    <cfRule type="containsBlanks" dxfId="34" priority="37" stopIfTrue="1">
      <formula>LEN(TRIM(D81))=0</formula>
    </cfRule>
  </conditionalFormatting>
  <conditionalFormatting sqref="D92:G98 D99:F100 D101:J102">
    <cfRule type="containsBlanks" dxfId="33" priority="24" stopIfTrue="1">
      <formula>LEN(TRIM(D92))=0</formula>
    </cfRule>
  </conditionalFormatting>
  <conditionalFormatting sqref="D103:G109 D110:F111 D112:J113">
    <cfRule type="containsBlanks" dxfId="32" priority="22" stopIfTrue="1">
      <formula>LEN(TRIM(D103))=0</formula>
    </cfRule>
  </conditionalFormatting>
  <conditionalFormatting sqref="D171:G180">
    <cfRule type="containsBlanks" dxfId="31" priority="10" stopIfTrue="1">
      <formula>LEN(TRIM(D171))=0</formula>
    </cfRule>
  </conditionalFormatting>
  <conditionalFormatting sqref="D188:G191 D192:F193 D194:G195">
    <cfRule type="containsBlanks" dxfId="30" priority="31" stopIfTrue="1">
      <formula>LEN(TRIM(D188))=0</formula>
    </cfRule>
  </conditionalFormatting>
  <conditionalFormatting sqref="D200:G202 D203:F204 D205:J206">
    <cfRule type="containsBlanks" dxfId="29" priority="30" stopIfTrue="1">
      <formula>LEN(TRIM(D200))=0</formula>
    </cfRule>
  </conditionalFormatting>
  <conditionalFormatting sqref="D207:G213 D214:F215 D216:J217">
    <cfRule type="containsBlanks" dxfId="28" priority="18" stopIfTrue="1">
      <formula>LEN(TRIM(D207))=0</formula>
    </cfRule>
  </conditionalFormatting>
  <conditionalFormatting sqref="D218:G224 D225:F226 D227:J228">
    <cfRule type="containsBlanks" dxfId="27" priority="16" stopIfTrue="1">
      <formula>LEN(TRIM(D218))=0</formula>
    </cfRule>
  </conditionalFormatting>
  <conditionalFormatting sqref="D47:J53 D54:F55 H54:J55">
    <cfRule type="containsBlanks" dxfId="26" priority="40" stopIfTrue="1">
      <formula>LEN(TRIM(D47))=0</formula>
    </cfRule>
  </conditionalFormatting>
  <conditionalFormatting sqref="D56:J63">
    <cfRule type="containsBlanks" dxfId="25" priority="2" stopIfTrue="1">
      <formula>LEN(TRIM(D56))=0</formula>
    </cfRule>
  </conditionalFormatting>
  <conditionalFormatting sqref="D68:J72">
    <cfRule type="containsBlanks" dxfId="24" priority="1" stopIfTrue="1">
      <formula>LEN(TRIM(D68))=0</formula>
    </cfRule>
  </conditionalFormatting>
  <conditionalFormatting sqref="D185:J187">
    <cfRule type="containsBlanks" dxfId="23" priority="8" stopIfTrue="1">
      <formula>LEN(TRIM(D185))=0</formula>
    </cfRule>
  </conditionalFormatting>
  <conditionalFormatting sqref="D196:J199">
    <cfRule type="containsBlanks" dxfId="22" priority="7" stopIfTrue="1">
      <formula>LEN(TRIM(D196))=0</formula>
    </cfRule>
  </conditionalFormatting>
  <conditionalFormatting sqref="E21:E32">
    <cfRule type="containsBlanks" dxfId="21" priority="42" stopIfTrue="1">
      <formula>LEN(TRIM(E21))=0</formula>
    </cfRule>
  </conditionalFormatting>
  <conditionalFormatting sqref="E136:E147">
    <cfRule type="containsBlanks" dxfId="20" priority="35" stopIfTrue="1">
      <formula>LEN(TRIM(E136))=0</formula>
    </cfRule>
  </conditionalFormatting>
  <conditionalFormatting sqref="E165:G166">
    <cfRule type="containsBlanks" dxfId="19" priority="12" stopIfTrue="1">
      <formula>LEN(TRIM(E165))=0</formula>
    </cfRule>
  </conditionalFormatting>
  <conditionalFormatting sqref="E162:J164">
    <cfRule type="containsBlanks" dxfId="18" priority="13" stopIfTrue="1">
      <formula>LEN(TRIM(E162))=0</formula>
    </cfRule>
  </conditionalFormatting>
  <conditionalFormatting sqref="F5:H13">
    <cfRule type="containsBlanks" dxfId="17" priority="4" stopIfTrue="1">
      <formula>LEN(TRIM(F5))=0</formula>
    </cfRule>
  </conditionalFormatting>
  <conditionalFormatting sqref="F120:H128">
    <cfRule type="containsBlanks" dxfId="16" priority="6" stopIfTrue="1">
      <formula>LEN(TRIM(F120))=0</formula>
    </cfRule>
  </conditionalFormatting>
  <conditionalFormatting sqref="H64:J67">
    <cfRule type="containsBlanks" dxfId="15" priority="29" stopIfTrue="1">
      <formula>LEN(TRIM(H64))=0</formula>
    </cfRule>
  </conditionalFormatting>
  <conditionalFormatting sqref="H73:J78">
    <cfRule type="containsBlanks" dxfId="14" priority="28" stopIfTrue="1">
      <formula>LEN(TRIM(H73))=0</formula>
    </cfRule>
  </conditionalFormatting>
  <conditionalFormatting sqref="H81:J89">
    <cfRule type="containsBlanks" dxfId="13" priority="27" stopIfTrue="1">
      <formula>LEN(TRIM(H81))=0</formula>
    </cfRule>
  </conditionalFormatting>
  <conditionalFormatting sqref="H92:J100">
    <cfRule type="containsBlanks" dxfId="12" priority="23" stopIfTrue="1">
      <formula>LEN(TRIM(H92))=0</formula>
    </cfRule>
  </conditionalFormatting>
  <conditionalFormatting sqref="H103:J111">
    <cfRule type="containsBlanks" dxfId="11" priority="19" stopIfTrue="1">
      <formula>LEN(TRIM(H103))=0</formula>
    </cfRule>
  </conditionalFormatting>
  <conditionalFormatting sqref="H165:J184">
    <cfRule type="containsBlanks" dxfId="10" priority="11" stopIfTrue="1">
      <formula>LEN(TRIM(H165))=0</formula>
    </cfRule>
  </conditionalFormatting>
  <conditionalFormatting sqref="H188:J195">
    <cfRule type="containsBlanks" dxfId="9" priority="26" stopIfTrue="1">
      <formula>LEN(TRIM(H188))=0</formula>
    </cfRule>
  </conditionalFormatting>
  <conditionalFormatting sqref="H200:J204">
    <cfRule type="containsBlanks" dxfId="8" priority="25" stopIfTrue="1">
      <formula>LEN(TRIM(H200))=0</formula>
    </cfRule>
  </conditionalFormatting>
  <conditionalFormatting sqref="H207:J215">
    <cfRule type="containsBlanks" dxfId="7" priority="17" stopIfTrue="1">
      <formula>LEN(TRIM(H207))=0</formula>
    </cfRule>
  </conditionalFormatting>
  <conditionalFormatting sqref="H218:J226">
    <cfRule type="containsBlanks" dxfId="6" priority="14" stopIfTrue="1">
      <formula>LEN(TRIM(H218))=0</formula>
    </cfRule>
  </conditionalFormatting>
  <conditionalFormatting sqref="K5:L9 K10:K13">
    <cfRule type="containsBlanks" dxfId="5" priority="3" stopIfTrue="1">
      <formula>LEN(TRIM(K5))=0</formula>
    </cfRule>
  </conditionalFormatting>
  <conditionalFormatting sqref="K120:L124 K125:K128">
    <cfRule type="containsBlanks" dxfId="4" priority="5" stopIfTrue="1">
      <formula>LEN(TRIM(K120))=0</formula>
    </cfRule>
  </conditionalFormatting>
  <conditionalFormatting sqref="L47:L113">
    <cfRule type="containsBlanks" dxfId="3" priority="20" stopIfTrue="1">
      <formula>LEN(TRIM(L47))=0</formula>
    </cfRule>
  </conditionalFormatting>
  <conditionalFormatting sqref="L162:L228">
    <cfRule type="containsBlanks" dxfId="2" priority="9" stopIfTrue="1">
      <formula>LEN(TRIM(L162))=0</formula>
    </cfRule>
  </conditionalFormatting>
  <conditionalFormatting sqref="O47:Q113">
    <cfRule type="containsBlanks" dxfId="1" priority="21" stopIfTrue="1">
      <formula>LEN(TRIM(O47))=0</formula>
    </cfRule>
  </conditionalFormatting>
  <conditionalFormatting sqref="O162:Q228">
    <cfRule type="containsBlanks" dxfId="0" priority="1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67F7157-10E6-4096-BC4F-CA3EC97A8903}">
      <formula1>$V$3:$V$5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Сменный отчет линия № 2 - 0,25 </vt:lpstr>
      <vt:lpstr>Сменный отчет линия № 3 - 0,75 </vt:lpstr>
      <vt:lpstr>Сменный отчет линия № 5 - Сироп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Глушук Богдан Юрьевич</dc:creator>
  <cp:lastModifiedBy>Глушук Богдан Юрьевич</cp:lastModifiedBy>
  <dcterms:created xsi:type="dcterms:W3CDTF">2026-01-25T19:48:44Z</dcterms:created>
  <dcterms:modified xsi:type="dcterms:W3CDTF">2026-01-25T19:48:47Z</dcterms:modified>
</cp:coreProperties>
</file>